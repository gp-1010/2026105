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<sst xmlns="http://schemas.openxmlformats.org/spreadsheetml/2006/main" count="53" uniqueCount="17">
  <si>
    <t>EW22060</t>
  </si>
  <si>
    <t>NS24490</t>
  </si>
  <si>
    <t>SQ22866</t>
  </si>
  <si>
    <t>GL28493</t>
  </si>
  <si>
    <t>PET(S1)</t>
  </si>
  <si>
    <t>PET(S2)</t>
  </si>
  <si>
    <t>∆PET</t>
  </si>
  <si>
    <t>TA(S1)</t>
  </si>
  <si>
    <t>TA(S2)</t>
  </si>
  <si>
    <t>∆TA</t>
  </si>
  <si>
    <t>TMRT(S1)</t>
  </si>
  <si>
    <t>TMRT(S2)</t>
  </si>
  <si>
    <t>∆TMRT</t>
  </si>
  <si>
    <t>VA(S1)</t>
  </si>
  <si>
    <t>VA(S2)</t>
  </si>
  <si>
    <t>∆VA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</si>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</sst>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0"/>
      <color indexed="8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 applyProtection="1">
      <alignment horizontal="center" vertical="top"/>
    </xf>
    <xf numFmtId="176" fontId="1" fillId="0" borderId="0" xfId="0" applyNumberFormat="1" applyFont="1" applyBorder="1">
      <alignment vertical="center"/>
    </xf>
    <xf numFmtId="0" fontId="1" fillId="0" borderId="0" xfId="0" applyFont="1" applyBorder="1">
      <alignment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176" fontId="2" fillId="0" borderId="1" xfId="0" applyNumberFormat="1" applyFont="1" applyFill="1" applyBorder="1" applyAlignment="1" applyProtection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7"/>
  <sheetViews>
    <sheetView tabSelected="1" topLeftCell="P1" workbookViewId="0">
      <selection activeCell="A17" sqref="A17"/>
    </sheetView>
  </sheetViews>
  <sheetFormatPr defaultColWidth="9" defaultRowHeight="13.5"/>
  <cols>
    <col min="1" max="1" width="5.25" customWidth="1"/>
    <col min="2" max="3" width="6.75" customWidth="1"/>
    <col min="4" max="4" width="5.125" customWidth="1"/>
    <col min="5" max="6" width="6.25" customWidth="1"/>
    <col min="7" max="7" width="4.875" customWidth="1"/>
    <col min="8" max="9" width="8.5" customWidth="1"/>
    <col min="10" max="10" width="6.875" customWidth="1"/>
    <col min="11" max="12" width="6.25" customWidth="1"/>
    <col min="13" max="13" width="4.875" customWidth="1"/>
    <col min="14" max="15" width="6.75" customWidth="1"/>
    <col min="16" max="16" width="5.125" customWidth="1"/>
    <col min="17" max="18" width="6.25" customWidth="1"/>
    <col min="19" max="19" width="4.875" customWidth="1"/>
    <col min="20" max="21" width="8.5" customWidth="1"/>
    <col min="22" max="22" width="6.875" customWidth="1"/>
    <col min="23" max="24" width="6.25" customWidth="1"/>
    <col min="25" max="25" width="4.875" customWidth="1"/>
    <col min="26" max="27" width="6.75" customWidth="1"/>
    <col min="28" max="28" width="5.125" customWidth="1"/>
    <col min="29" max="30" width="6.25" customWidth="1"/>
    <col min="31" max="31" width="4.875" customWidth="1"/>
    <col min="32" max="33" width="8.5" customWidth="1"/>
    <col min="34" max="34" width="6.875" customWidth="1"/>
    <col min="35" max="36" width="6.25" customWidth="1"/>
    <col min="37" max="37" width="4.625" customWidth="1"/>
    <col min="38" max="39" width="6.75" customWidth="1"/>
    <col min="40" max="40" width="5.125" customWidth="1"/>
    <col min="41" max="42" width="6.25" customWidth="1"/>
    <col min="43" max="43" width="4.875" customWidth="1"/>
    <col min="44" max="45" width="8.5" customWidth="1"/>
    <col min="46" max="46" width="6.875" customWidth="1"/>
    <col min="47" max="48" width="6.25" customWidth="1"/>
    <col min="49" max="49" width="4.875" customWidth="1"/>
  </cols>
  <sheetData>
    <row r="1" s="1" customFormat="1" ht="17" customHeight="1" spans="1:49">
      <c r="A1" s="4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4" t="s">
        <v>1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 t="s">
        <v>2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s">
        <v>3</v>
      </c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s="1" customFormat="1" spans="1:49">
      <c r="A2" s="4"/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4</v>
      </c>
      <c r="O2" s="4" t="s">
        <v>5</v>
      </c>
      <c r="P2" s="4" t="s">
        <v>6</v>
      </c>
      <c r="Q2" s="4" t="s">
        <v>7</v>
      </c>
      <c r="R2" s="4" t="s">
        <v>8</v>
      </c>
      <c r="S2" s="4" t="s">
        <v>9</v>
      </c>
      <c r="T2" s="4" t="s">
        <v>10</v>
      </c>
      <c r="U2" s="4" t="s">
        <v>11</v>
      </c>
      <c r="V2" s="4" t="s">
        <v>12</v>
      </c>
      <c r="W2" s="4" t="s">
        <v>13</v>
      </c>
      <c r="X2" s="4" t="s">
        <v>14</v>
      </c>
      <c r="Y2" s="4" t="s">
        <v>15</v>
      </c>
      <c r="Z2" s="4" t="s">
        <v>4</v>
      </c>
      <c r="AA2" s="4" t="s">
        <v>5</v>
      </c>
      <c r="AB2" s="4" t="s">
        <v>6</v>
      </c>
      <c r="AC2" s="4" t="s">
        <v>7</v>
      </c>
      <c r="AD2" s="4" t="s">
        <v>8</v>
      </c>
      <c r="AE2" s="4" t="s">
        <v>9</v>
      </c>
      <c r="AF2" s="4" t="s">
        <v>10</v>
      </c>
      <c r="AG2" s="4" t="s">
        <v>11</v>
      </c>
      <c r="AH2" s="4" t="s">
        <v>12</v>
      </c>
      <c r="AI2" s="4" t="s">
        <v>13</v>
      </c>
      <c r="AJ2" s="4" t="s">
        <v>14</v>
      </c>
      <c r="AK2" s="4" t="s">
        <v>15</v>
      </c>
      <c r="AL2" s="4" t="s">
        <v>4</v>
      </c>
      <c r="AM2" s="4" t="s">
        <v>5</v>
      </c>
      <c r="AN2" s="4" t="s">
        <v>6</v>
      </c>
      <c r="AO2" s="4" t="s">
        <v>7</v>
      </c>
      <c r="AP2" s="4" t="s">
        <v>8</v>
      </c>
      <c r="AQ2" s="4" t="s">
        <v>9</v>
      </c>
      <c r="AR2" s="4" t="s">
        <v>10</v>
      </c>
      <c r="AS2" s="4" t="s">
        <v>11</v>
      </c>
      <c r="AT2" s="4" t="s">
        <v>12</v>
      </c>
      <c r="AU2" s="4" t="s">
        <v>13</v>
      </c>
      <c r="AV2" s="4" t="s">
        <v>14</v>
      </c>
      <c r="AW2" s="4" t="s">
        <v>15</v>
      </c>
    </row>
    <row r="3" s="1" customFormat="1" spans="1:49">
      <c r="A3" s="4">
        <v>8</v>
      </c>
      <c r="B3" s="6">
        <v>21.405</v>
      </c>
      <c r="C3" s="6">
        <v>17.928</v>
      </c>
      <c r="D3" s="4">
        <f>B3-C3</f>
        <v>3.477</v>
      </c>
      <c r="E3" s="6">
        <v>15.78</v>
      </c>
      <c r="F3" s="6">
        <v>15.358</v>
      </c>
      <c r="G3" s="4">
        <f>E3-F3</f>
        <v>0.421999999999999</v>
      </c>
      <c r="H3" s="6">
        <v>32.77</v>
      </c>
      <c r="I3" s="6">
        <v>24.33</v>
      </c>
      <c r="J3" s="4">
        <f>H3-I3</f>
        <v>8.44</v>
      </c>
      <c r="K3" s="6">
        <v>0.46646</v>
      </c>
      <c r="L3" s="6">
        <v>0.5301</v>
      </c>
      <c r="M3" s="4">
        <f>K3-L3</f>
        <v>-0.06364</v>
      </c>
      <c r="N3" s="6">
        <v>21.13</v>
      </c>
      <c r="O3" s="6">
        <v>19.124</v>
      </c>
      <c r="P3" s="4">
        <f>N3-O3</f>
        <v>2.006</v>
      </c>
      <c r="Q3" s="6">
        <v>15.502</v>
      </c>
      <c r="R3" s="6">
        <v>15.083</v>
      </c>
      <c r="S3" s="4">
        <f>Q3-R3</f>
        <v>0.419</v>
      </c>
      <c r="T3" s="6">
        <v>26.092</v>
      </c>
      <c r="U3" s="6">
        <v>22.818</v>
      </c>
      <c r="V3" s="4">
        <f>T3-U3</f>
        <v>3.274</v>
      </c>
      <c r="W3" s="6">
        <v>0.096562</v>
      </c>
      <c r="X3" s="6">
        <v>0.12119</v>
      </c>
      <c r="Y3" s="4">
        <f>W3-X3</f>
        <v>-0.024628</v>
      </c>
      <c r="Z3" s="6">
        <v>19.847</v>
      </c>
      <c r="AA3" s="6">
        <v>15.522</v>
      </c>
      <c r="AB3" s="4">
        <f>Z3-AA3</f>
        <v>4.325</v>
      </c>
      <c r="AC3" s="6">
        <v>15.763</v>
      </c>
      <c r="AD3" s="6">
        <v>15.01</v>
      </c>
      <c r="AE3" s="4">
        <f>AC3-AD3</f>
        <v>0.753</v>
      </c>
      <c r="AF3" s="6">
        <v>30.181</v>
      </c>
      <c r="AG3" s="6">
        <v>16.156</v>
      </c>
      <c r="AH3" s="4">
        <f>AF3-AG3</f>
        <v>14.025</v>
      </c>
      <c r="AI3" s="6">
        <v>0.55076</v>
      </c>
      <c r="AJ3" s="6">
        <v>0.54203</v>
      </c>
      <c r="AK3" s="4">
        <f>AI3-AJ3</f>
        <v>0.00873000000000002</v>
      </c>
      <c r="AL3" s="10">
        <v>20.367</v>
      </c>
      <c r="AM3" s="10">
        <v>17.659</v>
      </c>
      <c r="AN3" s="4">
        <f>AL3-AM3</f>
        <v>2.708</v>
      </c>
      <c r="AO3" s="10">
        <v>15.679</v>
      </c>
      <c r="AP3" s="10">
        <v>15.407</v>
      </c>
      <c r="AQ3" s="4">
        <f>AO3-AP3</f>
        <v>0.272</v>
      </c>
      <c r="AR3" s="10">
        <v>31.357</v>
      </c>
      <c r="AS3" s="10">
        <v>23.069</v>
      </c>
      <c r="AT3" s="4">
        <f>AR3-AS3</f>
        <v>8.288</v>
      </c>
      <c r="AU3" s="10">
        <v>0.5371</v>
      </c>
      <c r="AV3" s="10">
        <v>0.50853</v>
      </c>
      <c r="AW3" s="4">
        <f>AU3-AV3</f>
        <v>0.02857</v>
      </c>
    </row>
    <row r="4" s="1" customFormat="1" spans="1:49">
      <c r="A4" s="4">
        <v>9</v>
      </c>
      <c r="B4" s="6">
        <v>25.773</v>
      </c>
      <c r="C4" s="6">
        <v>20.899</v>
      </c>
      <c r="D4" s="4">
        <f t="shared" ref="D4:D13" si="0">B4-C4</f>
        <v>4.874</v>
      </c>
      <c r="E4" s="6">
        <v>21.247</v>
      </c>
      <c r="F4" s="6">
        <v>20.147</v>
      </c>
      <c r="G4" s="4">
        <f t="shared" ref="G4:G13" si="1">E4-F4</f>
        <v>1.1</v>
      </c>
      <c r="H4" s="6">
        <v>46.095</v>
      </c>
      <c r="I4" s="6">
        <v>33.803</v>
      </c>
      <c r="J4" s="4">
        <f t="shared" ref="J4:J13" si="2">H4-I4</f>
        <v>12.292</v>
      </c>
      <c r="K4" s="6">
        <v>1.7422</v>
      </c>
      <c r="L4" s="6">
        <v>1.8598</v>
      </c>
      <c r="M4" s="4">
        <f t="shared" ref="M4:M13" si="3">K4-L4</f>
        <v>-0.1176</v>
      </c>
      <c r="N4" s="6">
        <v>21.213</v>
      </c>
      <c r="O4" s="6">
        <v>19.124</v>
      </c>
      <c r="P4" s="4">
        <f t="shared" ref="P4:P13" si="4">N4-O4</f>
        <v>2.089</v>
      </c>
      <c r="Q4" s="6">
        <v>21.072</v>
      </c>
      <c r="R4" s="6">
        <v>20.139</v>
      </c>
      <c r="S4" s="4">
        <f t="shared" ref="S4:S13" si="5">Q4-R4</f>
        <v>0.933</v>
      </c>
      <c r="T4" s="6">
        <v>36.71</v>
      </c>
      <c r="U4" s="6">
        <v>31.572</v>
      </c>
      <c r="V4" s="4">
        <f t="shared" ref="V4:V13" si="6">T4-U4</f>
        <v>5.138</v>
      </c>
      <c r="W4" s="6">
        <v>2.781</v>
      </c>
      <c r="X4" s="6">
        <v>2.8296</v>
      </c>
      <c r="Y4" s="4">
        <f t="shared" ref="Y4:Y13" si="7">W4-X4</f>
        <v>-0.0486</v>
      </c>
      <c r="Z4" s="6">
        <v>26.034</v>
      </c>
      <c r="AA4" s="6">
        <v>18.594</v>
      </c>
      <c r="AB4" s="4">
        <f t="shared" ref="AB4:AB13" si="8">Z4-AA4</f>
        <v>7.44</v>
      </c>
      <c r="AC4" s="6">
        <v>21.172</v>
      </c>
      <c r="AD4" s="6">
        <v>19.521</v>
      </c>
      <c r="AE4" s="4">
        <f t="shared" ref="AE4:AE13" si="9">AC4-AD4</f>
        <v>1.651</v>
      </c>
      <c r="AF4" s="6">
        <v>42.443</v>
      </c>
      <c r="AG4" s="6">
        <v>21.124</v>
      </c>
      <c r="AH4" s="4">
        <f t="shared" ref="AH4:AH13" si="10">AF4-AG4</f>
        <v>21.319</v>
      </c>
      <c r="AI4" s="6">
        <v>1.1533</v>
      </c>
      <c r="AJ4" s="6">
        <v>0.77285</v>
      </c>
      <c r="AK4" s="4">
        <f t="shared" ref="AK4:AK13" si="11">AI4-AJ4</f>
        <v>0.38045</v>
      </c>
      <c r="AL4" s="10">
        <v>23.793</v>
      </c>
      <c r="AM4" s="10">
        <v>19.482</v>
      </c>
      <c r="AN4" s="4">
        <f t="shared" ref="AN4:AN13" si="12">AL4-AM4</f>
        <v>4.311</v>
      </c>
      <c r="AO4" s="10">
        <v>21.091</v>
      </c>
      <c r="AP4" s="10">
        <v>20.098</v>
      </c>
      <c r="AQ4" s="4">
        <f t="shared" ref="AQ4:AQ13" si="13">AO4-AP4</f>
        <v>0.993000000000002</v>
      </c>
      <c r="AR4" s="10">
        <v>44.222</v>
      </c>
      <c r="AS4" s="10">
        <v>32.057</v>
      </c>
      <c r="AT4" s="4">
        <f t="shared" ref="AT4:AT13" si="14">AR4-AS4</f>
        <v>12.165</v>
      </c>
      <c r="AU4" s="10">
        <v>2.3879</v>
      </c>
      <c r="AV4" s="10">
        <v>2.5403</v>
      </c>
      <c r="AW4" s="4">
        <f t="shared" ref="AW4:AW13" si="15">AU4-AV4</f>
        <v>-0.1524</v>
      </c>
    </row>
    <row r="5" s="1" customFormat="1" spans="1:49">
      <c r="A5" s="4">
        <v>10</v>
      </c>
      <c r="B5" s="6">
        <v>30.535</v>
      </c>
      <c r="C5" s="6">
        <v>24.295</v>
      </c>
      <c r="D5" s="4">
        <f t="shared" si="0"/>
        <v>6.24</v>
      </c>
      <c r="E5" s="6">
        <v>21.521</v>
      </c>
      <c r="F5" s="6">
        <v>21.29</v>
      </c>
      <c r="G5" s="4">
        <f t="shared" si="1"/>
        <v>0.231000000000002</v>
      </c>
      <c r="H5" s="6">
        <v>53.853</v>
      </c>
      <c r="I5" s="6">
        <v>39.821</v>
      </c>
      <c r="J5" s="4">
        <f t="shared" si="2"/>
        <v>14.032</v>
      </c>
      <c r="K5" s="6">
        <v>1.3912</v>
      </c>
      <c r="L5" s="6">
        <v>1.4433</v>
      </c>
      <c r="M5" s="4">
        <f t="shared" si="3"/>
        <v>-0.0521</v>
      </c>
      <c r="N5" s="6">
        <v>23.929</v>
      </c>
      <c r="O5" s="6">
        <v>22.009</v>
      </c>
      <c r="P5" s="4">
        <f t="shared" si="4"/>
        <v>1.92</v>
      </c>
      <c r="Q5" s="6">
        <v>21.754</v>
      </c>
      <c r="R5" s="6">
        <v>21.653</v>
      </c>
      <c r="S5" s="4">
        <f t="shared" si="5"/>
        <v>0.101000000000003</v>
      </c>
      <c r="T5" s="6">
        <v>42.921</v>
      </c>
      <c r="U5" s="6">
        <v>37.208</v>
      </c>
      <c r="V5" s="4">
        <f t="shared" si="6"/>
        <v>5.713</v>
      </c>
      <c r="W5" s="6">
        <v>2.3115</v>
      </c>
      <c r="X5" s="6">
        <v>2.4474</v>
      </c>
      <c r="Y5" s="4">
        <f t="shared" si="7"/>
        <v>-0.1359</v>
      </c>
      <c r="Z5" s="6">
        <v>26.868</v>
      </c>
      <c r="AA5" s="6">
        <v>19.858</v>
      </c>
      <c r="AB5" s="4">
        <f t="shared" si="8"/>
        <v>7.01</v>
      </c>
      <c r="AC5" s="6">
        <v>21.716</v>
      </c>
      <c r="AD5" s="6">
        <v>21.372</v>
      </c>
      <c r="AE5" s="4">
        <f t="shared" si="9"/>
        <v>0.344000000000001</v>
      </c>
      <c r="AF5" s="6">
        <v>49.929</v>
      </c>
      <c r="AG5" s="6">
        <v>24.354</v>
      </c>
      <c r="AH5" s="4">
        <f t="shared" si="10"/>
        <v>25.575</v>
      </c>
      <c r="AI5" s="6">
        <v>1.9406</v>
      </c>
      <c r="AJ5" s="6">
        <v>1.2071</v>
      </c>
      <c r="AK5" s="4">
        <f t="shared" si="11"/>
        <v>0.7335</v>
      </c>
      <c r="AL5" s="10">
        <v>28.801</v>
      </c>
      <c r="AM5" s="10">
        <v>22.637</v>
      </c>
      <c r="AN5" s="4">
        <f t="shared" si="12"/>
        <v>6.164</v>
      </c>
      <c r="AO5" s="10">
        <v>21.558</v>
      </c>
      <c r="AP5" s="10">
        <v>21.417</v>
      </c>
      <c r="AQ5" s="4">
        <f t="shared" si="13"/>
        <v>0.140999999999998</v>
      </c>
      <c r="AR5" s="10">
        <v>50.967</v>
      </c>
      <c r="AS5" s="10">
        <v>36.846</v>
      </c>
      <c r="AT5" s="4">
        <f t="shared" si="14"/>
        <v>14.121</v>
      </c>
      <c r="AU5" s="10">
        <v>1.4708</v>
      </c>
      <c r="AV5" s="10">
        <v>1.8262</v>
      </c>
      <c r="AW5" s="4">
        <f t="shared" si="15"/>
        <v>-0.3554</v>
      </c>
    </row>
    <row r="6" s="1" customFormat="1" spans="1:49">
      <c r="A6" s="4">
        <v>11</v>
      </c>
      <c r="B6" s="6">
        <v>35.371</v>
      </c>
      <c r="C6" s="6">
        <v>28.708</v>
      </c>
      <c r="D6" s="4">
        <f t="shared" si="0"/>
        <v>6.663</v>
      </c>
      <c r="E6" s="6">
        <v>23.319</v>
      </c>
      <c r="F6" s="6">
        <v>22.987</v>
      </c>
      <c r="G6" s="4">
        <f t="shared" si="1"/>
        <v>0.332000000000001</v>
      </c>
      <c r="H6" s="6">
        <v>59.795</v>
      </c>
      <c r="I6" s="6">
        <v>44.318</v>
      </c>
      <c r="J6" s="4">
        <f t="shared" si="2"/>
        <v>15.477</v>
      </c>
      <c r="K6" s="6">
        <v>1.3723</v>
      </c>
      <c r="L6" s="6">
        <v>1.0321</v>
      </c>
      <c r="M6" s="4">
        <f t="shared" si="3"/>
        <v>0.3402</v>
      </c>
      <c r="N6" s="6">
        <v>30.588</v>
      </c>
      <c r="O6" s="6">
        <v>26.249</v>
      </c>
      <c r="P6" s="4">
        <f t="shared" si="4"/>
        <v>4.339</v>
      </c>
      <c r="Q6" s="6">
        <v>23.099</v>
      </c>
      <c r="R6" s="6">
        <v>23.003</v>
      </c>
      <c r="S6" s="4">
        <f t="shared" si="5"/>
        <v>0.0960000000000001</v>
      </c>
      <c r="T6" s="6">
        <v>48.102</v>
      </c>
      <c r="U6" s="6">
        <v>41.542</v>
      </c>
      <c r="V6" s="4">
        <f t="shared" si="6"/>
        <v>6.56</v>
      </c>
      <c r="W6" s="6">
        <v>1.0523</v>
      </c>
      <c r="X6" s="6">
        <v>1.429</v>
      </c>
      <c r="Y6" s="4">
        <f t="shared" si="7"/>
        <v>-0.3767</v>
      </c>
      <c r="Z6" s="6">
        <v>33.834</v>
      </c>
      <c r="AA6" s="6">
        <v>22.297</v>
      </c>
      <c r="AB6" s="4">
        <f t="shared" si="8"/>
        <v>11.537</v>
      </c>
      <c r="AC6" s="6">
        <v>23.092</v>
      </c>
      <c r="AD6" s="6">
        <v>22.42</v>
      </c>
      <c r="AE6" s="4">
        <f t="shared" si="9"/>
        <v>0.671999999999997</v>
      </c>
      <c r="AF6" s="6">
        <v>55.561</v>
      </c>
      <c r="AG6" s="6">
        <v>26.888</v>
      </c>
      <c r="AH6" s="4">
        <f t="shared" si="10"/>
        <v>28.673</v>
      </c>
      <c r="AI6" s="6">
        <v>1.1742</v>
      </c>
      <c r="AJ6" s="6">
        <v>0.70703</v>
      </c>
      <c r="AK6" s="4">
        <f t="shared" si="11"/>
        <v>0.46717</v>
      </c>
      <c r="AL6" s="10">
        <v>31.364</v>
      </c>
      <c r="AM6" s="10">
        <v>25.23</v>
      </c>
      <c r="AN6" s="4">
        <f t="shared" si="12"/>
        <v>6.134</v>
      </c>
      <c r="AO6" s="10">
        <v>23.184</v>
      </c>
      <c r="AP6" s="10">
        <v>23.023</v>
      </c>
      <c r="AQ6" s="4">
        <f t="shared" si="13"/>
        <v>0.161000000000001</v>
      </c>
      <c r="AR6" s="10">
        <v>57.034</v>
      </c>
      <c r="AS6" s="10">
        <v>41.25</v>
      </c>
      <c r="AT6" s="4">
        <f t="shared" si="14"/>
        <v>15.784</v>
      </c>
      <c r="AU6" s="10">
        <v>2.0505</v>
      </c>
      <c r="AV6" s="10">
        <v>1.8709</v>
      </c>
      <c r="AW6" s="4">
        <f t="shared" si="15"/>
        <v>0.1796</v>
      </c>
    </row>
    <row r="7" s="2" customFormat="1" spans="1:49">
      <c r="A7" s="4">
        <v>12</v>
      </c>
      <c r="B7" s="6">
        <v>42.905</v>
      </c>
      <c r="C7" s="6">
        <v>33.988</v>
      </c>
      <c r="D7" s="4">
        <f t="shared" si="0"/>
        <v>8.917</v>
      </c>
      <c r="E7" s="6">
        <v>23.719</v>
      </c>
      <c r="F7" s="6">
        <v>23.631</v>
      </c>
      <c r="G7" s="4">
        <f t="shared" si="1"/>
        <v>0.088000000000001</v>
      </c>
      <c r="H7" s="6">
        <v>62.474</v>
      </c>
      <c r="I7" s="6">
        <v>46.175</v>
      </c>
      <c r="J7" s="4">
        <f t="shared" si="2"/>
        <v>16.299</v>
      </c>
      <c r="K7" s="6">
        <v>0.41511</v>
      </c>
      <c r="L7" s="6">
        <v>0.32031</v>
      </c>
      <c r="M7" s="4">
        <f t="shared" si="3"/>
        <v>0.0948</v>
      </c>
      <c r="N7" s="6">
        <v>37.242</v>
      </c>
      <c r="O7" s="6">
        <v>31.454</v>
      </c>
      <c r="P7" s="4">
        <f t="shared" si="4"/>
        <v>5.788</v>
      </c>
      <c r="Q7" s="6">
        <v>23.382</v>
      </c>
      <c r="R7" s="6">
        <v>23.261</v>
      </c>
      <c r="S7" s="4">
        <f t="shared" si="5"/>
        <v>0.121000000000002</v>
      </c>
      <c r="T7" s="6">
        <v>51.029</v>
      </c>
      <c r="U7" s="6">
        <v>43.64</v>
      </c>
      <c r="V7" s="4">
        <f t="shared" si="6"/>
        <v>7.389</v>
      </c>
      <c r="W7" s="6">
        <v>0.26053</v>
      </c>
      <c r="X7" s="6">
        <v>0.44815</v>
      </c>
      <c r="Y7" s="4">
        <f t="shared" si="7"/>
        <v>-0.18762</v>
      </c>
      <c r="Z7" s="6">
        <v>44.476</v>
      </c>
      <c r="AA7" s="6">
        <v>25.473</v>
      </c>
      <c r="AB7" s="4">
        <f t="shared" si="8"/>
        <v>19.003</v>
      </c>
      <c r="AC7" s="6">
        <v>23.709</v>
      </c>
      <c r="AD7" s="6">
        <v>22.678</v>
      </c>
      <c r="AE7" s="4">
        <f t="shared" si="9"/>
        <v>1.031</v>
      </c>
      <c r="AF7" s="6">
        <v>58.97</v>
      </c>
      <c r="AG7" s="6">
        <v>27.969</v>
      </c>
      <c r="AH7" s="4">
        <f t="shared" si="10"/>
        <v>31.001</v>
      </c>
      <c r="AI7" s="6">
        <v>0.10636</v>
      </c>
      <c r="AJ7" s="6">
        <v>0.089447</v>
      </c>
      <c r="AK7" s="4">
        <f t="shared" si="11"/>
        <v>0.016913</v>
      </c>
      <c r="AL7" s="10">
        <v>38.713</v>
      </c>
      <c r="AM7" s="10">
        <v>29.485</v>
      </c>
      <c r="AN7" s="4">
        <f t="shared" si="12"/>
        <v>9.228</v>
      </c>
      <c r="AO7" s="10">
        <v>23.732</v>
      </c>
      <c r="AP7" s="10">
        <v>23.555</v>
      </c>
      <c r="AQ7" s="4">
        <f t="shared" si="13"/>
        <v>0.177</v>
      </c>
      <c r="AR7" s="10">
        <v>60.146</v>
      </c>
      <c r="AS7" s="10">
        <v>43.23</v>
      </c>
      <c r="AT7" s="4">
        <f t="shared" si="14"/>
        <v>16.916</v>
      </c>
      <c r="AU7" s="10">
        <v>0.79468</v>
      </c>
      <c r="AV7" s="10">
        <v>0.81179</v>
      </c>
      <c r="AW7" s="4">
        <f t="shared" si="15"/>
        <v>-0.01711</v>
      </c>
    </row>
    <row r="8" s="1" customFormat="1" spans="1:49">
      <c r="A8" s="4">
        <v>13</v>
      </c>
      <c r="B8" s="6">
        <v>46.385</v>
      </c>
      <c r="C8" s="6">
        <v>36.449</v>
      </c>
      <c r="D8" s="4">
        <f t="shared" si="0"/>
        <v>9.936</v>
      </c>
      <c r="E8" s="6">
        <v>24.801</v>
      </c>
      <c r="F8" s="6">
        <v>24.8</v>
      </c>
      <c r="G8" s="4">
        <f t="shared" si="1"/>
        <v>0.000999999999997669</v>
      </c>
      <c r="H8" s="6">
        <v>63.532</v>
      </c>
      <c r="I8" s="6">
        <v>47.085</v>
      </c>
      <c r="J8" s="4">
        <f t="shared" si="2"/>
        <v>16.447</v>
      </c>
      <c r="K8" s="6">
        <v>0.21761</v>
      </c>
      <c r="L8" s="6">
        <v>0.18409</v>
      </c>
      <c r="M8" s="4">
        <f t="shared" si="3"/>
        <v>0.03352</v>
      </c>
      <c r="N8" s="6">
        <v>29.155</v>
      </c>
      <c r="O8" s="6">
        <v>25.426</v>
      </c>
      <c r="P8" s="4">
        <f t="shared" si="4"/>
        <v>3.729</v>
      </c>
      <c r="Q8" s="6">
        <v>24.577</v>
      </c>
      <c r="R8" s="6">
        <v>24.184</v>
      </c>
      <c r="S8" s="4">
        <f t="shared" si="5"/>
        <v>0.393000000000001</v>
      </c>
      <c r="T8" s="6">
        <v>52.71</v>
      </c>
      <c r="U8" s="6">
        <v>44.803</v>
      </c>
      <c r="V8" s="4">
        <f t="shared" si="6"/>
        <v>7.907</v>
      </c>
      <c r="W8" s="6">
        <v>2.7069</v>
      </c>
      <c r="X8" s="6">
        <v>3.0996</v>
      </c>
      <c r="Y8" s="4">
        <f t="shared" si="7"/>
        <v>-0.3927</v>
      </c>
      <c r="Z8" s="6">
        <v>35.234</v>
      </c>
      <c r="AA8" s="6">
        <v>23.121</v>
      </c>
      <c r="AB8" s="4">
        <f t="shared" si="8"/>
        <v>12.113</v>
      </c>
      <c r="AC8" s="6">
        <v>24.713</v>
      </c>
      <c r="AD8" s="6">
        <v>23.638</v>
      </c>
      <c r="AE8" s="4">
        <f t="shared" si="9"/>
        <v>1.075</v>
      </c>
      <c r="AF8" s="6">
        <v>61.303</v>
      </c>
      <c r="AG8" s="6">
        <v>28.926</v>
      </c>
      <c r="AH8" s="4">
        <f t="shared" si="10"/>
        <v>32.377</v>
      </c>
      <c r="AI8" s="6">
        <v>1.9763</v>
      </c>
      <c r="AJ8" s="6">
        <v>1.0454</v>
      </c>
      <c r="AK8" s="4">
        <f t="shared" si="11"/>
        <v>0.9309</v>
      </c>
      <c r="AL8" s="10">
        <v>38.357</v>
      </c>
      <c r="AM8" s="10">
        <v>27.212</v>
      </c>
      <c r="AN8" s="4">
        <f t="shared" si="12"/>
        <v>11.145</v>
      </c>
      <c r="AO8" s="10">
        <v>24.645</v>
      </c>
      <c r="AP8" s="10">
        <v>24.788</v>
      </c>
      <c r="AQ8" s="4">
        <f t="shared" si="13"/>
        <v>-0.143000000000001</v>
      </c>
      <c r="AR8" s="10">
        <v>61.511</v>
      </c>
      <c r="AS8" s="10">
        <v>44.484</v>
      </c>
      <c r="AT8" s="4">
        <f t="shared" si="14"/>
        <v>17.027</v>
      </c>
      <c r="AU8" s="10">
        <v>1.1584</v>
      </c>
      <c r="AV8" s="10">
        <v>2.1057</v>
      </c>
      <c r="AW8" s="4">
        <f t="shared" si="15"/>
        <v>-0.9473</v>
      </c>
    </row>
    <row r="9" s="1" customFormat="1" spans="1:49">
      <c r="A9" s="4">
        <v>14</v>
      </c>
      <c r="B9" s="6">
        <v>43.658</v>
      </c>
      <c r="C9" s="6">
        <v>34.912</v>
      </c>
      <c r="D9" s="4">
        <f t="shared" si="0"/>
        <v>8.746</v>
      </c>
      <c r="E9" s="6">
        <v>24.294</v>
      </c>
      <c r="F9" s="6">
        <v>24.327</v>
      </c>
      <c r="G9" s="4">
        <f t="shared" si="1"/>
        <v>-0.0330000000000013</v>
      </c>
      <c r="H9" s="6">
        <v>59.63</v>
      </c>
      <c r="I9" s="6">
        <v>45.195</v>
      </c>
      <c r="J9" s="4">
        <f t="shared" si="2"/>
        <v>14.435</v>
      </c>
      <c r="K9" s="6">
        <v>0.20504</v>
      </c>
      <c r="L9" s="6">
        <v>0.19457</v>
      </c>
      <c r="M9" s="4">
        <f t="shared" si="3"/>
        <v>0.01047</v>
      </c>
      <c r="N9" s="6">
        <v>26.328</v>
      </c>
      <c r="O9" s="6">
        <v>24.324</v>
      </c>
      <c r="P9" s="4">
        <f t="shared" si="4"/>
        <v>2.004</v>
      </c>
      <c r="Q9" s="6">
        <v>24.091</v>
      </c>
      <c r="R9" s="6">
        <v>23.85</v>
      </c>
      <c r="S9" s="4">
        <f t="shared" si="5"/>
        <v>0.241</v>
      </c>
      <c r="T9" s="6">
        <v>49.672</v>
      </c>
      <c r="U9" s="6">
        <v>43.183</v>
      </c>
      <c r="V9" s="4">
        <f t="shared" si="6"/>
        <v>6.489</v>
      </c>
      <c r="W9" s="6">
        <v>3.3236</v>
      </c>
      <c r="X9" s="6">
        <v>3.4093</v>
      </c>
      <c r="Y9" s="4">
        <f t="shared" si="7"/>
        <v>-0.0857000000000001</v>
      </c>
      <c r="Z9" s="6">
        <v>35.178</v>
      </c>
      <c r="AA9" s="6">
        <v>23.883</v>
      </c>
      <c r="AB9" s="4">
        <f t="shared" si="8"/>
        <v>11.295</v>
      </c>
      <c r="AC9" s="6">
        <v>24.328</v>
      </c>
      <c r="AD9" s="6">
        <v>23.876</v>
      </c>
      <c r="AE9" s="4">
        <f t="shared" si="9"/>
        <v>0.451999999999998</v>
      </c>
      <c r="AF9" s="6">
        <v>57.364</v>
      </c>
      <c r="AG9" s="6">
        <v>28.431</v>
      </c>
      <c r="AH9" s="4">
        <f t="shared" si="10"/>
        <v>28.933</v>
      </c>
      <c r="AI9" s="6">
        <v>1.3027</v>
      </c>
      <c r="AJ9" s="6">
        <v>0.63568</v>
      </c>
      <c r="AK9" s="4">
        <f t="shared" si="11"/>
        <v>0.66702</v>
      </c>
      <c r="AL9" s="10">
        <v>34.313</v>
      </c>
      <c r="AM9" s="10">
        <v>25.545</v>
      </c>
      <c r="AN9" s="4">
        <f t="shared" si="12"/>
        <v>8.768</v>
      </c>
      <c r="AO9" s="10">
        <v>24.213</v>
      </c>
      <c r="AP9" s="10">
        <v>24.215</v>
      </c>
      <c r="AQ9" s="4">
        <f t="shared" si="13"/>
        <v>-0.00199999999999889</v>
      </c>
      <c r="AR9" s="10">
        <v>58.551</v>
      </c>
      <c r="AS9" s="10">
        <v>43.005</v>
      </c>
      <c r="AT9" s="4">
        <f t="shared" si="14"/>
        <v>15.546</v>
      </c>
      <c r="AU9" s="10">
        <v>1.6654</v>
      </c>
      <c r="AV9" s="10">
        <v>2.5611</v>
      </c>
      <c r="AW9" s="4">
        <f t="shared" si="15"/>
        <v>-0.8957</v>
      </c>
    </row>
    <row r="10" s="1" customFormat="1" spans="1:49">
      <c r="A10" s="4">
        <v>15</v>
      </c>
      <c r="B10" s="6">
        <v>32.686</v>
      </c>
      <c r="C10" s="6">
        <v>28.386</v>
      </c>
      <c r="D10" s="4">
        <f t="shared" si="0"/>
        <v>4.3</v>
      </c>
      <c r="E10" s="6">
        <v>24.926</v>
      </c>
      <c r="F10" s="6">
        <v>24.78</v>
      </c>
      <c r="G10" s="4">
        <f t="shared" si="1"/>
        <v>0.145999999999997</v>
      </c>
      <c r="H10" s="6">
        <v>55.194</v>
      </c>
      <c r="I10" s="6">
        <v>42.593</v>
      </c>
      <c r="J10" s="4">
        <f t="shared" si="2"/>
        <v>12.601</v>
      </c>
      <c r="K10" s="6">
        <v>1.9061</v>
      </c>
      <c r="L10" s="6">
        <v>1.3297</v>
      </c>
      <c r="M10" s="4">
        <f t="shared" si="3"/>
        <v>0.5764</v>
      </c>
      <c r="N10" s="6">
        <v>33.156</v>
      </c>
      <c r="O10" s="6">
        <v>29.528</v>
      </c>
      <c r="P10" s="4">
        <f t="shared" si="4"/>
        <v>3.628</v>
      </c>
      <c r="Q10" s="6">
        <v>24.839</v>
      </c>
      <c r="R10" s="6">
        <v>24.846</v>
      </c>
      <c r="S10" s="4">
        <f t="shared" si="5"/>
        <v>-0.00700000000000145</v>
      </c>
      <c r="T10" s="6">
        <v>46.534</v>
      </c>
      <c r="U10" s="6">
        <v>40.946</v>
      </c>
      <c r="V10" s="4">
        <f t="shared" si="6"/>
        <v>5.588</v>
      </c>
      <c r="W10" s="6">
        <v>0.60828</v>
      </c>
      <c r="X10" s="6">
        <v>0.78359</v>
      </c>
      <c r="Y10" s="4">
        <f t="shared" si="7"/>
        <v>-0.17531</v>
      </c>
      <c r="Z10" s="6">
        <v>38.264</v>
      </c>
      <c r="AA10" s="6">
        <v>26.961</v>
      </c>
      <c r="AB10" s="4">
        <f t="shared" si="8"/>
        <v>11.303</v>
      </c>
      <c r="AC10" s="6">
        <v>24.682</v>
      </c>
      <c r="AD10" s="6">
        <v>24.613</v>
      </c>
      <c r="AE10" s="4">
        <f t="shared" si="9"/>
        <v>0.0689999999999991</v>
      </c>
      <c r="AF10" s="6">
        <v>53.874</v>
      </c>
      <c r="AG10" s="6">
        <v>28.063</v>
      </c>
      <c r="AH10" s="4">
        <f t="shared" si="10"/>
        <v>25.811</v>
      </c>
      <c r="AI10" s="6">
        <v>0.42445</v>
      </c>
      <c r="AJ10" s="6">
        <v>0.032845</v>
      </c>
      <c r="AK10" s="4">
        <f t="shared" si="11"/>
        <v>0.391605</v>
      </c>
      <c r="AL10" s="10">
        <v>31.396</v>
      </c>
      <c r="AM10" s="10">
        <v>26.822</v>
      </c>
      <c r="AN10" s="4">
        <f t="shared" si="12"/>
        <v>4.574</v>
      </c>
      <c r="AO10" s="10">
        <v>24.838</v>
      </c>
      <c r="AP10" s="10">
        <v>24.822</v>
      </c>
      <c r="AQ10" s="4">
        <f t="shared" si="13"/>
        <v>0.0160000000000018</v>
      </c>
      <c r="AR10" s="10">
        <v>54.471</v>
      </c>
      <c r="AS10" s="10">
        <v>40.932</v>
      </c>
      <c r="AT10" s="4">
        <f t="shared" si="14"/>
        <v>13.539</v>
      </c>
      <c r="AU10" s="10">
        <v>2.22</v>
      </c>
      <c r="AV10" s="10">
        <v>1.6801</v>
      </c>
      <c r="AW10" s="4">
        <f t="shared" si="15"/>
        <v>0.5399</v>
      </c>
    </row>
    <row r="11" s="1" customFormat="1" spans="1:49">
      <c r="A11" s="4">
        <v>16</v>
      </c>
      <c r="B11" s="6">
        <v>30.443</v>
      </c>
      <c r="C11" s="6">
        <v>27.014</v>
      </c>
      <c r="D11" s="4">
        <f t="shared" si="0"/>
        <v>3.429</v>
      </c>
      <c r="E11" s="6">
        <v>24.099</v>
      </c>
      <c r="F11" s="6">
        <v>24.056</v>
      </c>
      <c r="G11" s="4">
        <f t="shared" si="1"/>
        <v>0.0429999999999993</v>
      </c>
      <c r="H11" s="6">
        <v>47.639</v>
      </c>
      <c r="I11" s="6">
        <v>37.646</v>
      </c>
      <c r="J11" s="4">
        <f t="shared" si="2"/>
        <v>9.993</v>
      </c>
      <c r="K11" s="6">
        <v>1.2463</v>
      </c>
      <c r="L11" s="6">
        <v>0.86953</v>
      </c>
      <c r="M11" s="4">
        <f t="shared" si="3"/>
        <v>0.37677</v>
      </c>
      <c r="N11" s="6">
        <v>23.939</v>
      </c>
      <c r="O11" s="6">
        <v>22.896</v>
      </c>
      <c r="P11" s="4">
        <f t="shared" si="4"/>
        <v>1.043</v>
      </c>
      <c r="Q11" s="6">
        <v>24.129</v>
      </c>
      <c r="R11" s="6">
        <v>24.044</v>
      </c>
      <c r="S11" s="4">
        <f t="shared" si="5"/>
        <v>0.0850000000000009</v>
      </c>
      <c r="T11" s="6">
        <v>41.306</v>
      </c>
      <c r="U11" s="6">
        <v>36.727</v>
      </c>
      <c r="V11" s="4">
        <f t="shared" si="6"/>
        <v>4.579</v>
      </c>
      <c r="W11" s="6">
        <v>3.6002</v>
      </c>
      <c r="X11" s="6">
        <v>3.4385</v>
      </c>
      <c r="Y11" s="4">
        <f t="shared" si="7"/>
        <v>0.1617</v>
      </c>
      <c r="Z11" s="6">
        <v>30.711</v>
      </c>
      <c r="AA11" s="6">
        <v>22.603</v>
      </c>
      <c r="AB11" s="4">
        <f t="shared" si="8"/>
        <v>8.108</v>
      </c>
      <c r="AC11" s="6">
        <v>23.711</v>
      </c>
      <c r="AD11" s="6">
        <v>23.799</v>
      </c>
      <c r="AE11" s="4">
        <f t="shared" si="9"/>
        <v>-0.088000000000001</v>
      </c>
      <c r="AF11" s="6">
        <v>47.757</v>
      </c>
      <c r="AG11" s="6">
        <v>26.493</v>
      </c>
      <c r="AH11" s="4">
        <f t="shared" si="10"/>
        <v>21.264</v>
      </c>
      <c r="AI11" s="6">
        <v>1.0885</v>
      </c>
      <c r="AJ11" s="6">
        <v>0.90931</v>
      </c>
      <c r="AK11" s="4">
        <f t="shared" si="11"/>
        <v>0.17919</v>
      </c>
      <c r="AL11" s="10">
        <v>24.217</v>
      </c>
      <c r="AM11" s="10">
        <v>22.335</v>
      </c>
      <c r="AN11" s="4">
        <f t="shared" si="12"/>
        <v>1.882</v>
      </c>
      <c r="AO11" s="10">
        <v>23.916</v>
      </c>
      <c r="AP11" s="10">
        <v>24.024</v>
      </c>
      <c r="AQ11" s="4">
        <f t="shared" si="13"/>
        <v>-0.108000000000001</v>
      </c>
      <c r="AR11" s="10">
        <v>46.849</v>
      </c>
      <c r="AS11" s="10">
        <v>36.269</v>
      </c>
      <c r="AT11" s="4">
        <f t="shared" si="14"/>
        <v>10.58</v>
      </c>
      <c r="AU11" s="10">
        <v>4.6035</v>
      </c>
      <c r="AV11" s="10">
        <v>4.0428</v>
      </c>
      <c r="AW11" s="4">
        <f t="shared" si="15"/>
        <v>0.560700000000001</v>
      </c>
    </row>
    <row r="12" s="1" customFormat="1" spans="1:49">
      <c r="A12" s="4">
        <v>17</v>
      </c>
      <c r="B12" s="6">
        <v>24.693</v>
      </c>
      <c r="C12" s="6">
        <v>22.669</v>
      </c>
      <c r="D12" s="4">
        <f t="shared" si="0"/>
        <v>2.024</v>
      </c>
      <c r="E12" s="6">
        <v>23.565</v>
      </c>
      <c r="F12" s="6">
        <v>23.545</v>
      </c>
      <c r="G12" s="4">
        <f t="shared" si="1"/>
        <v>0.0199999999999996</v>
      </c>
      <c r="H12" s="6">
        <v>37.961</v>
      </c>
      <c r="I12" s="6">
        <v>31.65</v>
      </c>
      <c r="J12" s="4">
        <f t="shared" si="2"/>
        <v>6.311</v>
      </c>
      <c r="K12" s="6">
        <v>1.8272</v>
      </c>
      <c r="L12" s="6">
        <v>1.9146</v>
      </c>
      <c r="M12" s="4">
        <f t="shared" si="3"/>
        <v>-0.0874000000000001</v>
      </c>
      <c r="N12" s="6">
        <v>22.375</v>
      </c>
      <c r="O12" s="6">
        <v>21.601</v>
      </c>
      <c r="P12" s="4">
        <f t="shared" si="4"/>
        <v>0.774000000000001</v>
      </c>
      <c r="Q12" s="6">
        <v>23.602</v>
      </c>
      <c r="R12" s="6">
        <v>23.524</v>
      </c>
      <c r="S12" s="4">
        <f t="shared" si="5"/>
        <v>0.0779999999999994</v>
      </c>
      <c r="T12" s="6">
        <v>34.372</v>
      </c>
      <c r="U12" s="6">
        <v>31.358</v>
      </c>
      <c r="V12" s="4">
        <f t="shared" si="6"/>
        <v>3.014</v>
      </c>
      <c r="W12" s="6">
        <v>2.9679</v>
      </c>
      <c r="X12" s="6">
        <v>2.9344</v>
      </c>
      <c r="Y12" s="4">
        <f t="shared" si="7"/>
        <v>0.0335000000000001</v>
      </c>
      <c r="Z12" s="6">
        <v>27.151</v>
      </c>
      <c r="AA12" s="6">
        <v>22.346</v>
      </c>
      <c r="AB12" s="4">
        <f t="shared" si="8"/>
        <v>4.805</v>
      </c>
      <c r="AC12" s="6">
        <v>23.522</v>
      </c>
      <c r="AD12" s="6">
        <v>23.252</v>
      </c>
      <c r="AE12" s="4">
        <f t="shared" si="9"/>
        <v>0.27</v>
      </c>
      <c r="AF12" s="6">
        <v>38.605</v>
      </c>
      <c r="AG12" s="6">
        <v>24.452</v>
      </c>
      <c r="AH12" s="4">
        <f t="shared" si="10"/>
        <v>14.153</v>
      </c>
      <c r="AI12" s="6">
        <v>0.84925</v>
      </c>
      <c r="AJ12" s="6">
        <v>0.50739</v>
      </c>
      <c r="AK12" s="4">
        <f t="shared" si="11"/>
        <v>0.34186</v>
      </c>
      <c r="AL12" s="10">
        <v>22.902</v>
      </c>
      <c r="AM12" s="10">
        <v>21.405</v>
      </c>
      <c r="AN12" s="4">
        <f t="shared" si="12"/>
        <v>1.497</v>
      </c>
      <c r="AO12" s="10">
        <v>23.511</v>
      </c>
      <c r="AP12" s="10">
        <v>23.511</v>
      </c>
      <c r="AQ12" s="4">
        <f t="shared" si="13"/>
        <v>0</v>
      </c>
      <c r="AR12" s="10">
        <v>37.307</v>
      </c>
      <c r="AS12" s="10">
        <v>30.624</v>
      </c>
      <c r="AT12" s="4">
        <f t="shared" si="14"/>
        <v>6.683</v>
      </c>
      <c r="AU12" s="10">
        <v>3.1086</v>
      </c>
      <c r="AV12" s="10">
        <v>3.111</v>
      </c>
      <c r="AW12" s="4">
        <f t="shared" si="15"/>
        <v>-0.00240000000000018</v>
      </c>
    </row>
    <row r="13" s="1" customFormat="1" spans="1:49">
      <c r="A13" s="4">
        <v>18</v>
      </c>
      <c r="B13" s="6">
        <v>21.162</v>
      </c>
      <c r="C13" s="6">
        <v>20.45</v>
      </c>
      <c r="D13" s="4">
        <f t="shared" si="0"/>
        <v>0.712</v>
      </c>
      <c r="E13" s="6">
        <v>23.092</v>
      </c>
      <c r="F13" s="6">
        <v>22.988</v>
      </c>
      <c r="G13" s="4">
        <f t="shared" si="1"/>
        <v>0.103999999999999</v>
      </c>
      <c r="H13" s="6">
        <v>26.276</v>
      </c>
      <c r="I13" s="6">
        <v>24.46</v>
      </c>
      <c r="J13" s="4">
        <f t="shared" si="2"/>
        <v>1.816</v>
      </c>
      <c r="K13" s="6">
        <v>1.6585</v>
      </c>
      <c r="L13" s="6">
        <v>1.7828</v>
      </c>
      <c r="M13" s="4">
        <f t="shared" si="3"/>
        <v>-0.1243</v>
      </c>
      <c r="N13" s="6">
        <v>20.347</v>
      </c>
      <c r="O13" s="6">
        <v>19.957</v>
      </c>
      <c r="P13" s="4">
        <f t="shared" si="4"/>
        <v>0.390000000000001</v>
      </c>
      <c r="Q13" s="6">
        <v>23.116</v>
      </c>
      <c r="R13" s="6">
        <v>23.029</v>
      </c>
      <c r="S13" s="4">
        <f t="shared" si="5"/>
        <v>0.0869999999999997</v>
      </c>
      <c r="T13" s="6">
        <v>26.454</v>
      </c>
      <c r="U13" s="6">
        <v>25.236</v>
      </c>
      <c r="V13" s="4">
        <f t="shared" si="6"/>
        <v>1.218</v>
      </c>
      <c r="W13" s="6">
        <v>2.6899</v>
      </c>
      <c r="X13" s="6">
        <v>2.7344</v>
      </c>
      <c r="Y13" s="4">
        <f t="shared" si="7"/>
        <v>-0.0444999999999998</v>
      </c>
      <c r="Z13" s="6">
        <v>22.137</v>
      </c>
      <c r="AA13" s="6">
        <v>20.78</v>
      </c>
      <c r="AB13" s="4">
        <f t="shared" si="8"/>
        <v>1.357</v>
      </c>
      <c r="AC13" s="6">
        <v>23.083</v>
      </c>
      <c r="AD13" s="6">
        <v>22.802</v>
      </c>
      <c r="AE13" s="4">
        <f t="shared" si="9"/>
        <v>0.280999999999999</v>
      </c>
      <c r="AF13" s="6">
        <v>27.672</v>
      </c>
      <c r="AG13" s="6">
        <v>22.047</v>
      </c>
      <c r="AH13" s="4">
        <f t="shared" si="10"/>
        <v>5.625</v>
      </c>
      <c r="AI13" s="6">
        <v>1.1248</v>
      </c>
      <c r="AJ13" s="6">
        <v>0.75793</v>
      </c>
      <c r="AK13" s="4">
        <f t="shared" si="11"/>
        <v>0.36687</v>
      </c>
      <c r="AL13" s="10">
        <v>20.407</v>
      </c>
      <c r="AM13" s="10">
        <v>19.809</v>
      </c>
      <c r="AN13" s="4">
        <f t="shared" si="12"/>
        <v>0.597999999999999</v>
      </c>
      <c r="AO13" s="10">
        <v>23.067</v>
      </c>
      <c r="AP13" s="10">
        <v>23.001</v>
      </c>
      <c r="AQ13" s="4">
        <f t="shared" si="13"/>
        <v>0.0659999999999989</v>
      </c>
      <c r="AR13" s="10">
        <v>25.763</v>
      </c>
      <c r="AS13" s="10">
        <v>23.976</v>
      </c>
      <c r="AT13" s="4">
        <f t="shared" si="14"/>
        <v>1.787</v>
      </c>
      <c r="AU13" s="10">
        <v>2.3191</v>
      </c>
      <c r="AV13" s="10">
        <v>2.4641</v>
      </c>
      <c r="AW13" s="4">
        <f t="shared" si="15"/>
        <v>-0.145</v>
      </c>
    </row>
    <row r="14" s="1" customFormat="1" spans="1:49">
      <c r="A14" s="4" t="s">
        <v>16</v>
      </c>
      <c r="B14" s="4">
        <f t="shared" ref="B14:X14" si="16">AVERAGE(B3:B13)</f>
        <v>32.2741818181818</v>
      </c>
      <c r="C14" s="4">
        <f t="shared" si="16"/>
        <v>26.8816363636364</v>
      </c>
      <c r="D14" s="4">
        <f t="shared" si="16"/>
        <v>5.39254545454545</v>
      </c>
      <c r="E14" s="4">
        <f t="shared" si="16"/>
        <v>22.7602727272727</v>
      </c>
      <c r="F14" s="4">
        <f t="shared" si="16"/>
        <v>22.5371818181818</v>
      </c>
      <c r="G14" s="4">
        <f t="shared" si="16"/>
        <v>0.223090909090909</v>
      </c>
      <c r="H14" s="4">
        <f t="shared" si="16"/>
        <v>49.5653636363636</v>
      </c>
      <c r="I14" s="4">
        <f t="shared" si="16"/>
        <v>37.916</v>
      </c>
      <c r="J14" s="4">
        <f t="shared" si="16"/>
        <v>11.6493636363636</v>
      </c>
      <c r="K14" s="4">
        <f t="shared" si="16"/>
        <v>1.13163818181818</v>
      </c>
      <c r="L14" s="4">
        <f t="shared" si="16"/>
        <v>1.0419</v>
      </c>
      <c r="M14" s="4">
        <f t="shared" si="16"/>
        <v>0.0897381818181818</v>
      </c>
      <c r="N14" s="4">
        <f t="shared" si="16"/>
        <v>26.3092727272727</v>
      </c>
      <c r="O14" s="4">
        <f t="shared" si="16"/>
        <v>23.7901818181818</v>
      </c>
      <c r="P14" s="4">
        <f t="shared" si="16"/>
        <v>2.51909090909091</v>
      </c>
      <c r="Q14" s="4">
        <f t="shared" si="16"/>
        <v>22.6511818181818</v>
      </c>
      <c r="R14" s="4">
        <f t="shared" si="16"/>
        <v>22.4196363636364</v>
      </c>
      <c r="S14" s="4">
        <f t="shared" si="16"/>
        <v>0.231545454545455</v>
      </c>
      <c r="T14" s="4">
        <f t="shared" si="16"/>
        <v>41.4456363636364</v>
      </c>
      <c r="U14" s="4">
        <f t="shared" si="16"/>
        <v>36.2757272727273</v>
      </c>
      <c r="V14" s="4">
        <f t="shared" si="16"/>
        <v>5.16990909090909</v>
      </c>
      <c r="W14" s="4">
        <f t="shared" si="16"/>
        <v>2.03624290909091</v>
      </c>
      <c r="X14" s="4">
        <f t="shared" si="16"/>
        <v>2.15228454545455</v>
      </c>
      <c r="Y14" s="4">
        <f t="shared" ref="Y14:AW14" si="17">AVERAGE(Y3:Y13)</f>
        <v>-0.116041636363636</v>
      </c>
      <c r="Z14" s="4">
        <f t="shared" si="17"/>
        <v>30.8849090909091</v>
      </c>
      <c r="AA14" s="4">
        <f t="shared" si="17"/>
        <v>21.9489090909091</v>
      </c>
      <c r="AB14" s="4">
        <f t="shared" si="17"/>
        <v>8.936</v>
      </c>
      <c r="AC14" s="4">
        <f t="shared" si="17"/>
        <v>22.681</v>
      </c>
      <c r="AD14" s="4">
        <f t="shared" si="17"/>
        <v>22.0891818181818</v>
      </c>
      <c r="AE14" s="4">
        <f t="shared" si="17"/>
        <v>0.591818181818181</v>
      </c>
      <c r="AF14" s="4">
        <f t="shared" si="17"/>
        <v>47.6053636363636</v>
      </c>
      <c r="AG14" s="4">
        <f t="shared" si="17"/>
        <v>24.9911818181818</v>
      </c>
      <c r="AH14" s="4">
        <f t="shared" si="17"/>
        <v>22.6141818181818</v>
      </c>
      <c r="AI14" s="4">
        <f t="shared" si="17"/>
        <v>1.06283818181818</v>
      </c>
      <c r="AJ14" s="4">
        <f t="shared" si="17"/>
        <v>0.655182909090909</v>
      </c>
      <c r="AK14" s="4">
        <f t="shared" si="17"/>
        <v>0.407655272727273</v>
      </c>
      <c r="AL14" s="4">
        <f t="shared" si="17"/>
        <v>28.6027272727273</v>
      </c>
      <c r="AM14" s="4">
        <f t="shared" si="17"/>
        <v>23.4200909090909</v>
      </c>
      <c r="AN14" s="4">
        <f t="shared" si="17"/>
        <v>5.18263636363636</v>
      </c>
      <c r="AO14" s="4">
        <f t="shared" si="17"/>
        <v>22.6758181818182</v>
      </c>
      <c r="AP14" s="4">
        <f t="shared" si="17"/>
        <v>22.5328181818182</v>
      </c>
      <c r="AQ14" s="4">
        <f t="shared" si="17"/>
        <v>0.143</v>
      </c>
      <c r="AR14" s="4">
        <f t="shared" si="17"/>
        <v>48.0161818181818</v>
      </c>
      <c r="AS14" s="4">
        <f t="shared" si="17"/>
        <v>35.9765454545455</v>
      </c>
      <c r="AT14" s="4">
        <f t="shared" si="17"/>
        <v>12.0396363636364</v>
      </c>
      <c r="AU14" s="4">
        <f t="shared" si="17"/>
        <v>2.02872545454545</v>
      </c>
      <c r="AV14" s="4">
        <f t="shared" si="17"/>
        <v>2.13841090909091</v>
      </c>
      <c r="AW14" s="4">
        <f t="shared" si="17"/>
        <v>-0.109685454545455</v>
      </c>
    </row>
    <row r="15" s="3" customFormat="1" spans="1:49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9"/>
      <c r="AA15" s="9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</row>
    <row r="16" s="3" customFormat="1" spans="1:49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  <c r="AA16" s="9"/>
      <c r="AB16" s="7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="3" customFormat="1" spans="1:49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  <c r="AA17" s="9"/>
      <c r="AB17" s="7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="3" customFormat="1" spans="1:49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  <c r="AA18" s="9"/>
      <c r="AB18" s="7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="3" customFormat="1" spans="1:4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  <c r="AA19" s="9"/>
      <c r="AB19" s="7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="3" customFormat="1" spans="1:49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  <c r="AA20" s="9"/>
      <c r="AB20" s="7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="3" customFormat="1" spans="1:49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  <c r="AA21" s="9"/>
      <c r="AB21" s="7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="3" customFormat="1" spans="1:49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  <c r="AA22" s="9"/>
      <c r="AB22" s="7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="3" customFormat="1" spans="1:49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  <c r="AA23" s="9"/>
      <c r="AB23" s="7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="3" customFormat="1" spans="1:49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  <c r="AA24" s="9"/>
      <c r="AB24" s="7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="3" customFormat="1" spans="1:49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9"/>
      <c r="AB25" s="7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="3" customFormat="1" spans="1:49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="3" customFormat="1"/>
  </sheetData>
  <mergeCells count="4">
    <mergeCell ref="B1:M1"/>
    <mergeCell ref="N1:Y1"/>
    <mergeCell ref="Z1:AK1"/>
    <mergeCell ref="AL1:AW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高sama</cp:lastModifiedBy>
  <dcterms:created xsi:type="dcterms:W3CDTF">2023-05-12T11:15:00Z</dcterms:created>
  <dcterms:modified xsi:type="dcterms:W3CDTF">2025-12-27T07:00:35Z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8DB30FCF80B44B91BF54CEC861248077_12</vt:lpwstr>
  </property>
</Properties>
</file>