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<sst xmlns="http://schemas.openxmlformats.org/spreadsheetml/2006/main" count="552" uniqueCount="170">
  <si>
    <t>NO.</t>
  </si>
  <si>
    <t>Tg (°C)</t>
  </si>
  <si>
    <t>Ta (°C)</t>
  </si>
  <si>
    <t>Va (m/s)</t>
  </si>
  <si>
    <t>Tmrt(ISO 7726)</t>
  </si>
  <si>
    <t>Tmrt(Thorsson)</t>
  </si>
  <si>
    <r>
      <rPr>
        <b/>
        <sz val="11"/>
        <color theme="1"/>
        <rFont val="Arial"/>
        <charset val="134"/>
      </rPr>
      <t>∆</t>
    </r>
    <r>
      <rPr>
        <b/>
        <sz val="11"/>
        <color theme="1"/>
        <rFont val="宋体"/>
        <charset val="134"/>
        <scheme val="minor"/>
      </rPr>
      <t>Tmrt</t>
    </r>
  </si>
  <si>
    <r>
      <t>Supplementary File.</t>
    </r>
    <r>
      <rPr>
        <sz val="11"/>
        <color theme="1"/>
        <rFont val="宋体"/>
        <charset val="134"/>
        <scheme val="minor"/>
      </rPr>
      <t xml:space="preserve"> Per-record comparison of mean radiant temperature (Tmrt) computed with the ISO 7726 standard formula (coefficient 1.10×10⁸, wind-speed exponent 0.6) versus the Thorsson et al. (2007) small-globe correction (coefficient 1.335×10⁸, wind-speed exponent 0.71), applied to the 75 mm black globe of the AZ8778 instrument (ε = 0.95) used in this study. ΔTmrt = Tmrt(Thorsson) − Tmrt(ISO 7726). n = 196</t>
    </r>
  </si>
  <si>
    <t>26.6</t>
  </si>
  <si>
    <t>18.9</t>
  </si>
  <si>
    <t>0.86</t>
  </si>
  <si>
    <t>25.3</t>
  </si>
  <si>
    <t>21.2</t>
  </si>
  <si>
    <t>0.47</t>
  </si>
  <si>
    <t>30.1</t>
  </si>
  <si>
    <t>20.2</t>
  </si>
  <si>
    <t>1.04</t>
  </si>
  <si>
    <t>31.3</t>
  </si>
  <si>
    <t>24.3</t>
  </si>
  <si>
    <t>0.46</t>
  </si>
  <si>
    <t>33.1</t>
  </si>
  <si>
    <t>21.4</t>
  </si>
  <si>
    <t>1.09</t>
  </si>
  <si>
    <t>26.7</t>
  </si>
  <si>
    <t>23.1</t>
  </si>
  <si>
    <t>0.1</t>
  </si>
  <si>
    <t>31.4</t>
  </si>
  <si>
    <t>22.4</t>
  </si>
  <si>
    <t>1.2</t>
  </si>
  <si>
    <t>29.4</t>
  </si>
  <si>
    <t>24.1</t>
  </si>
  <si>
    <t>1.23</t>
  </si>
  <si>
    <t>32.5</t>
  </si>
  <si>
    <t>23.4</t>
  </si>
  <si>
    <t>0.49</t>
  </si>
  <si>
    <t>28.9</t>
  </si>
  <si>
    <t>24.4</t>
  </si>
  <si>
    <t>0.65</t>
  </si>
  <si>
    <t>32.4</t>
  </si>
  <si>
    <t>25.1</t>
  </si>
  <si>
    <t>2.0</t>
  </si>
  <si>
    <t>33.2</t>
  </si>
  <si>
    <t>21.8</t>
  </si>
  <si>
    <t>1.1</t>
  </si>
  <si>
    <t>30.3</t>
  </si>
  <si>
    <t>23.3</t>
  </si>
  <si>
    <t>2.5</t>
  </si>
  <si>
    <t>36.9</t>
  </si>
  <si>
    <t>23.9</t>
  </si>
  <si>
    <t>0.6</t>
  </si>
  <si>
    <t>28.0</t>
  </si>
  <si>
    <t>23.0</t>
  </si>
  <si>
    <t>0.3</t>
  </si>
  <si>
    <t>27.5</t>
  </si>
  <si>
    <t>23.7</t>
  </si>
  <si>
    <t>2.1</t>
  </si>
  <si>
    <t>35.2</t>
  </si>
  <si>
    <t>26.0</t>
  </si>
  <si>
    <t>25.8</t>
  </si>
  <si>
    <t>24</t>
  </si>
  <si>
    <t>29.1</t>
  </si>
  <si>
    <t>22.7</t>
  </si>
  <si>
    <t>2.4</t>
  </si>
  <si>
    <t>25.2</t>
  </si>
  <si>
    <t>36.0</t>
  </si>
  <si>
    <t>25.0</t>
  </si>
  <si>
    <t>0.9</t>
  </si>
  <si>
    <t>28.5</t>
  </si>
  <si>
    <t>26.8</t>
  </si>
  <si>
    <t>35.4</t>
  </si>
  <si>
    <t>25.5</t>
  </si>
  <si>
    <t>0.5</t>
  </si>
  <si>
    <t>38.3</t>
  </si>
  <si>
    <t>31.6</t>
  </si>
  <si>
    <t>0.8</t>
  </si>
  <si>
    <t>34.5</t>
  </si>
  <si>
    <t>26.1</t>
  </si>
  <si>
    <t>34.6</t>
  </si>
  <si>
    <t>27.3</t>
  </si>
  <si>
    <t>34.3</t>
  </si>
  <si>
    <t>1.3</t>
  </si>
  <si>
    <t>33.4</t>
  </si>
  <si>
    <t>26.3</t>
  </si>
  <si>
    <t>0.7</t>
  </si>
  <si>
    <t>35.0</t>
  </si>
  <si>
    <t>27.1</t>
  </si>
  <si>
    <t>32.1</t>
  </si>
  <si>
    <t>27.7</t>
  </si>
  <si>
    <t>35</t>
  </si>
  <si>
    <t>39.9</t>
  </si>
  <si>
    <t>29.7</t>
  </si>
  <si>
    <t>32.7</t>
  </si>
  <si>
    <t>31.2</t>
  </si>
  <si>
    <t>28.2</t>
  </si>
  <si>
    <t>1.7</t>
  </si>
  <si>
    <t>28.8</t>
  </si>
  <si>
    <t>2.3</t>
  </si>
  <si>
    <t>27.4</t>
  </si>
  <si>
    <t>3.3</t>
  </si>
  <si>
    <t>24.5</t>
  </si>
  <si>
    <t>1.6</t>
  </si>
  <si>
    <t>26.9</t>
  </si>
  <si>
    <t>26.5</t>
  </si>
  <si>
    <t>1.4</t>
  </si>
  <si>
    <t>25.6</t>
  </si>
  <si>
    <t>27.9</t>
  </si>
  <si>
    <t>24.8</t>
  </si>
  <si>
    <t>1.5</t>
  </si>
  <si>
    <t>1.8</t>
  </si>
  <si>
    <t>24.7</t>
  </si>
  <si>
    <t>26.2</t>
  </si>
  <si>
    <t>24.6</t>
  </si>
  <si>
    <t>2.2</t>
  </si>
  <si>
    <t>25.7</t>
  </si>
  <si>
    <t>20.7</t>
  </si>
  <si>
    <t>24.9</t>
  </si>
  <si>
    <t>26.4</t>
  </si>
  <si>
    <t>2</t>
  </si>
  <si>
    <t>20.3</t>
  </si>
  <si>
    <t>36.2</t>
  </si>
  <si>
    <t>28.6</t>
  </si>
  <si>
    <t>41.5</t>
  </si>
  <si>
    <t>37.7</t>
  </si>
  <si>
    <t>34.0</t>
  </si>
  <si>
    <t>1.0</t>
  </si>
  <si>
    <t>36.7</t>
  </si>
  <si>
    <t>31.7</t>
  </si>
  <si>
    <t>36.4</t>
  </si>
  <si>
    <t>34.1</t>
  </si>
  <si>
    <t>33.5</t>
  </si>
  <si>
    <t>32.0</t>
  </si>
  <si>
    <t>0.4</t>
  </si>
  <si>
    <t>35.7</t>
  </si>
  <si>
    <t>30.9</t>
  </si>
  <si>
    <t>31.5</t>
  </si>
  <si>
    <t>31.0</t>
  </si>
  <si>
    <t>32</t>
  </si>
  <si>
    <t>32.8</t>
  </si>
  <si>
    <t>33.8</t>
  </si>
  <si>
    <t>32.2</t>
  </si>
  <si>
    <t>30.6</t>
  </si>
  <si>
    <t>32.3</t>
  </si>
  <si>
    <t>31.1</t>
  </si>
  <si>
    <t>30.8</t>
  </si>
  <si>
    <t>30.4</t>
  </si>
  <si>
    <t>31</t>
  </si>
  <si>
    <t>0.81</t>
  </si>
  <si>
    <t>30.5</t>
  </si>
  <si>
    <t>0.61</t>
  </si>
  <si>
    <t>29.2</t>
  </si>
  <si>
    <t>29.5</t>
  </si>
  <si>
    <t>1</t>
  </si>
  <si>
    <t>23.5</t>
  </si>
  <si>
    <t>28.1</t>
  </si>
  <si>
    <t>22.8</t>
  </si>
  <si>
    <t>27.2</t>
  </si>
  <si>
    <t>31.9</t>
  </si>
  <si>
    <t>0.75</t>
  </si>
  <si>
    <t>37.1</t>
  </si>
  <si>
    <t>0.52</t>
  </si>
  <si>
    <t>24.0</t>
  </si>
  <si>
    <t>28.7</t>
  </si>
  <si>
    <t>0.55</t>
  </si>
  <si>
    <t>27.0</t>
  </si>
  <si>
    <t>29.3</t>
  </si>
  <si>
    <t>Mean</t>
  </si>
  <si>
    <t>SD</t>
  </si>
  <si>
    <t>Min</t>
  </si>
  <si>
    <t>−1.02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</si>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</sst>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name val="Times New Roman"/>
      <charset val="0"/>
    </font>
    <font>
      <sz val="10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180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abSelected="1" zoomScale="130" zoomScaleNormal="130" workbookViewId="0">
      <pane ySplit="1" topLeftCell="A2" activePane="bottomLeft" state="frozen"/>
      <selection/>
      <selection pane="bottomLeft" activeCell="I4" sqref="I4"/>
    </sheetView>
  </sheetViews>
  <sheetFormatPr defaultColWidth="18.9416666666667" defaultRowHeight="13.5" outlineLevelCol="7"/>
  <cols>
    <col min="1" max="1" width="7.26666666666667" style="1" customWidth="1"/>
    <col min="2" max="2" width="15.3416666666667" style="1" customWidth="1"/>
    <col min="3" max="3" width="17.4916666666667" style="1" customWidth="1"/>
    <col min="4" max="4" width="13.45" style="1" customWidth="1"/>
    <col min="5" max="5" width="17.025" style="2" customWidth="1"/>
    <col min="6" max="6" width="15.3833333333333" style="3" customWidth="1"/>
    <col min="7" max="7" width="14.2166666666667" style="2" customWidth="1"/>
    <col min="8" max="8" width="52.7833333333333" style="1" customWidth="1"/>
    <col min="9" max="16378" width="18.9416666666667" style="1" customWidth="1"/>
    <col min="16379" max="16384" width="18.9416666666667" style="1"/>
  </cols>
  <sheetData>
    <row r="1" ht="5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7">
      <c r="A2" s="9">
        <v>1</v>
      </c>
      <c r="B2" s="10" t="s">
        <v>8</v>
      </c>
      <c r="C2" s="10" t="s">
        <v>9</v>
      </c>
      <c r="D2" s="11" t="s">
        <v>10</v>
      </c>
      <c r="E2" s="12">
        <f>(((B2+273)^4+(110000000*D2^0.6/(0.95*0.075^0.4))*(B2-C2))^0.25)-273</f>
        <v>45.9758020153566</v>
      </c>
      <c r="F2" s="13">
        <v>49.3166551084078</v>
      </c>
      <c r="G2" s="12">
        <f t="shared" ref="G2:G65" si="0">F2-E2</f>
        <v>3.34085309305122</v>
      </c>
    </row>
    <row r="3" spans="1:7">
      <c r="A3" s="9">
        <v>2</v>
      </c>
      <c r="B3" s="10" t="s">
        <v>11</v>
      </c>
      <c r="C3" s="10" t="s">
        <v>12</v>
      </c>
      <c r="D3" s="11" t="s">
        <v>13</v>
      </c>
      <c r="E3" s="12">
        <f t="shared" ref="E3:E25" si="1">(((B3+273)^4+(110000000*D3^0.6/(0.95*0.075^0.4))*(B3-C3))^0.25)-273</f>
        <v>33.006799666492</v>
      </c>
      <c r="F3" s="13">
        <v>33.8584795934048</v>
      </c>
      <c r="G3" s="12">
        <f t="shared" si="0"/>
        <v>0.851679926912759</v>
      </c>
    </row>
    <row r="4" spans="1:7">
      <c r="A4" s="9">
        <v>3</v>
      </c>
      <c r="B4" s="10" t="s">
        <v>14</v>
      </c>
      <c r="C4" s="10" t="s">
        <v>15</v>
      </c>
      <c r="D4" s="11" t="s">
        <v>16</v>
      </c>
      <c r="E4" s="12">
        <f t="shared" si="1"/>
        <v>56.2202884334017</v>
      </c>
      <c r="F4" s="13">
        <v>61.141226230436</v>
      </c>
      <c r="G4" s="12">
        <f t="shared" si="0"/>
        <v>4.92093779703433</v>
      </c>
    </row>
    <row r="5" spans="1:7">
      <c r="A5" s="9">
        <v>4</v>
      </c>
      <c r="B5" s="10" t="s">
        <v>17</v>
      </c>
      <c r="C5" s="10" t="s">
        <v>18</v>
      </c>
      <c r="D5" s="11" t="s">
        <v>19</v>
      </c>
      <c r="E5" s="12">
        <f t="shared" si="1"/>
        <v>43.2908273457922</v>
      </c>
      <c r="F5" s="13">
        <v>44.5592040850595</v>
      </c>
      <c r="G5" s="12">
        <f t="shared" si="0"/>
        <v>1.2683767392673</v>
      </c>
    </row>
    <row r="6" spans="1:7">
      <c r="A6" s="9">
        <v>5</v>
      </c>
      <c r="B6" s="10" t="s">
        <v>20</v>
      </c>
      <c r="C6" s="10" t="s">
        <v>21</v>
      </c>
      <c r="D6" s="11" t="s">
        <v>22</v>
      </c>
      <c r="E6" s="12">
        <f t="shared" si="1"/>
        <v>63.3567607465445</v>
      </c>
      <c r="F6" s="13">
        <v>69.1108261824598</v>
      </c>
      <c r="G6" s="12">
        <f t="shared" si="0"/>
        <v>5.75406543591534</v>
      </c>
    </row>
    <row r="7" spans="1:7">
      <c r="A7" s="9">
        <v>6</v>
      </c>
      <c r="B7" s="10" t="s">
        <v>23</v>
      </c>
      <c r="C7" s="10" t="s">
        <v>24</v>
      </c>
      <c r="D7" s="11" t="s">
        <v>25</v>
      </c>
      <c r="E7" s="12">
        <f t="shared" si="1"/>
        <v>29.4036749688206</v>
      </c>
      <c r="F7" s="13">
        <v>29.2452922364097</v>
      </c>
      <c r="G7" s="12">
        <f t="shared" si="0"/>
        <v>-0.15838273241091</v>
      </c>
    </row>
    <row r="8" spans="1:7">
      <c r="A8" s="9">
        <v>7</v>
      </c>
      <c r="B8" s="10" t="s">
        <v>26</v>
      </c>
      <c r="C8" s="10" t="s">
        <v>27</v>
      </c>
      <c r="D8" s="11" t="s">
        <v>28</v>
      </c>
      <c r="E8" s="12">
        <f t="shared" si="1"/>
        <v>57.0204422460579</v>
      </c>
      <c r="F8" s="13">
        <v>62.2823447416271</v>
      </c>
      <c r="G8" s="12">
        <f t="shared" si="0"/>
        <v>5.26190249556922</v>
      </c>
    </row>
    <row r="9" spans="1:7">
      <c r="A9" s="9">
        <v>8</v>
      </c>
      <c r="B9" s="10" t="s">
        <v>29</v>
      </c>
      <c r="C9" s="10" t="s">
        <v>30</v>
      </c>
      <c r="D9" s="11" t="s">
        <v>31</v>
      </c>
      <c r="E9" s="12">
        <f t="shared" si="1"/>
        <v>45.7320789618109</v>
      </c>
      <c r="F9" s="13">
        <v>49.2974308717515</v>
      </c>
      <c r="G9" s="12">
        <f t="shared" si="0"/>
        <v>3.56535190994056</v>
      </c>
    </row>
    <row r="10" spans="1:7">
      <c r="A10" s="9">
        <v>9</v>
      </c>
      <c r="B10" s="10" t="s">
        <v>32</v>
      </c>
      <c r="C10" s="10" t="s">
        <v>33</v>
      </c>
      <c r="D10" s="11" t="s">
        <v>34</v>
      </c>
      <c r="E10" s="12">
        <f t="shared" si="1"/>
        <v>48.2162093018239</v>
      </c>
      <c r="F10" s="13">
        <v>49.9603722031864</v>
      </c>
      <c r="G10" s="12">
        <f t="shared" si="0"/>
        <v>1.74416290136252</v>
      </c>
    </row>
    <row r="11" spans="1:7">
      <c r="A11" s="9">
        <v>10</v>
      </c>
      <c r="B11" s="10" t="s">
        <v>35</v>
      </c>
      <c r="C11" s="10" t="s">
        <v>36</v>
      </c>
      <c r="D11" s="11" t="s">
        <v>37</v>
      </c>
      <c r="E11" s="12">
        <f t="shared" si="1"/>
        <v>38.7138315982552</v>
      </c>
      <c r="F11" s="13">
        <v>40.1617829145208</v>
      </c>
      <c r="G11" s="12">
        <f t="shared" si="0"/>
        <v>1.44795131626562</v>
      </c>
    </row>
    <row r="12" spans="1:7">
      <c r="A12" s="9">
        <v>11</v>
      </c>
      <c r="B12" s="10" t="s">
        <v>38</v>
      </c>
      <c r="C12" s="10" t="s">
        <v>39</v>
      </c>
      <c r="D12" s="11" t="s">
        <v>40</v>
      </c>
      <c r="E12" s="12">
        <f t="shared" si="1"/>
        <v>60.0907945638083</v>
      </c>
      <c r="F12" s="13">
        <v>67.3708570808053</v>
      </c>
      <c r="G12" s="12">
        <f t="shared" si="0"/>
        <v>7.28006251699701</v>
      </c>
    </row>
    <row r="13" spans="1:7">
      <c r="A13" s="9">
        <v>12</v>
      </c>
      <c r="B13" s="10" t="s">
        <v>38</v>
      </c>
      <c r="C13" s="10" t="s">
        <v>39</v>
      </c>
      <c r="D13" s="11" t="s">
        <v>40</v>
      </c>
      <c r="E13" s="12">
        <f t="shared" si="1"/>
        <v>60.0907945638083</v>
      </c>
      <c r="F13" s="13">
        <v>67.3708570808053</v>
      </c>
      <c r="G13" s="12">
        <f t="shared" si="0"/>
        <v>7.28006251699701</v>
      </c>
    </row>
    <row r="14" spans="1:7">
      <c r="A14" s="9">
        <v>13</v>
      </c>
      <c r="B14" s="10" t="s">
        <v>41</v>
      </c>
      <c r="C14" s="10" t="s">
        <v>42</v>
      </c>
      <c r="D14" s="11" t="s">
        <v>43</v>
      </c>
      <c r="E14" s="12">
        <f t="shared" si="1"/>
        <v>62.8953569589674</v>
      </c>
      <c r="F14" s="13">
        <v>68.5884110659755</v>
      </c>
      <c r="G14" s="12">
        <f t="shared" si="0"/>
        <v>5.69305410700811</v>
      </c>
    </row>
    <row r="15" spans="1:7">
      <c r="A15" s="9">
        <v>14</v>
      </c>
      <c r="B15" s="10" t="s">
        <v>44</v>
      </c>
      <c r="C15" s="10" t="s">
        <v>45</v>
      </c>
      <c r="D15" s="11" t="s">
        <v>46</v>
      </c>
      <c r="E15" s="12">
        <f t="shared" si="1"/>
        <v>60.8379356061203</v>
      </c>
      <c r="F15" s="13">
        <v>69.5469101179224</v>
      </c>
      <c r="G15" s="12">
        <f t="shared" si="0"/>
        <v>8.70897451180214</v>
      </c>
    </row>
    <row r="16" spans="1:7">
      <c r="A16" s="9">
        <v>15</v>
      </c>
      <c r="B16" s="10" t="s">
        <v>47</v>
      </c>
      <c r="C16" s="10" t="s">
        <v>48</v>
      </c>
      <c r="D16" s="11" t="s">
        <v>49</v>
      </c>
      <c r="E16" s="12">
        <f t="shared" si="1"/>
        <v>60.33299215439</v>
      </c>
      <c r="F16" s="13">
        <v>63.362749181277</v>
      </c>
      <c r="G16" s="12">
        <f t="shared" si="0"/>
        <v>3.02975702688699</v>
      </c>
    </row>
    <row r="17" spans="1:7">
      <c r="A17" s="9">
        <v>16</v>
      </c>
      <c r="B17" s="10" t="s">
        <v>50</v>
      </c>
      <c r="C17" s="10" t="s">
        <v>51</v>
      </c>
      <c r="D17" s="11" t="s">
        <v>52</v>
      </c>
      <c r="E17" s="12">
        <f t="shared" si="1"/>
        <v>35.0141894024329</v>
      </c>
      <c r="F17" s="13">
        <v>35.4303837458394</v>
      </c>
      <c r="G17" s="12">
        <f t="shared" si="0"/>
        <v>0.416194343406538</v>
      </c>
    </row>
    <row r="18" spans="1:7">
      <c r="A18" s="9">
        <v>17</v>
      </c>
      <c r="B18" s="10" t="s">
        <v>53</v>
      </c>
      <c r="C18" s="10" t="s">
        <v>54</v>
      </c>
      <c r="D18" s="11" t="s">
        <v>55</v>
      </c>
      <c r="E18" s="12">
        <f t="shared" si="1"/>
        <v>43.9328546910967</v>
      </c>
      <c r="F18" s="13">
        <v>48.6146338239351</v>
      </c>
      <c r="G18" s="12">
        <f t="shared" si="0"/>
        <v>4.68177913283836</v>
      </c>
    </row>
    <row r="19" spans="1:7">
      <c r="A19" s="9">
        <v>18</v>
      </c>
      <c r="B19" s="10" t="s">
        <v>56</v>
      </c>
      <c r="C19" s="10" t="s">
        <v>57</v>
      </c>
      <c r="D19" s="11" t="s">
        <v>49</v>
      </c>
      <c r="E19" s="12">
        <f t="shared" si="1"/>
        <v>52.5490553240726</v>
      </c>
      <c r="F19" s="13">
        <v>54.8571840627727</v>
      </c>
      <c r="G19" s="12">
        <f t="shared" si="0"/>
        <v>2.30812873870012</v>
      </c>
    </row>
    <row r="20" spans="1:7">
      <c r="A20" s="9">
        <v>19</v>
      </c>
      <c r="B20" s="10" t="s">
        <v>29</v>
      </c>
      <c r="C20" s="10" t="s">
        <v>58</v>
      </c>
      <c r="D20" s="11" t="s">
        <v>49</v>
      </c>
      <c r="E20" s="12">
        <f t="shared" si="1"/>
        <v>36.9308452816138</v>
      </c>
      <c r="F20" s="13">
        <v>37.9829375167198</v>
      </c>
      <c r="G20" s="12">
        <f t="shared" si="0"/>
        <v>1.05209223510599</v>
      </c>
    </row>
    <row r="21" spans="1:7">
      <c r="A21" s="9">
        <v>20</v>
      </c>
      <c r="B21" s="10" t="s">
        <v>29</v>
      </c>
      <c r="C21" s="10" t="s">
        <v>58</v>
      </c>
      <c r="D21" s="11" t="s">
        <v>49</v>
      </c>
      <c r="E21" s="12">
        <f t="shared" si="1"/>
        <v>36.9308452816138</v>
      </c>
      <c r="F21" s="13">
        <v>37.9829375167198</v>
      </c>
      <c r="G21" s="12">
        <f t="shared" si="0"/>
        <v>1.05209223510599</v>
      </c>
    </row>
    <row r="22" spans="1:7">
      <c r="A22" s="9">
        <v>21</v>
      </c>
      <c r="B22" s="10" t="s">
        <v>44</v>
      </c>
      <c r="C22" s="10" t="s">
        <v>59</v>
      </c>
      <c r="D22" s="11" t="s">
        <v>40</v>
      </c>
      <c r="E22" s="12">
        <f t="shared" si="1"/>
        <v>55.0286712647778</v>
      </c>
      <c r="F22" s="13">
        <v>61.6235928958744</v>
      </c>
      <c r="G22" s="12">
        <f t="shared" si="0"/>
        <v>6.59492163109665</v>
      </c>
    </row>
    <row r="23" spans="1:7">
      <c r="A23" s="9">
        <v>22</v>
      </c>
      <c r="B23" s="10" t="s">
        <v>56</v>
      </c>
      <c r="C23" s="10" t="s">
        <v>57</v>
      </c>
      <c r="D23" s="11" t="s">
        <v>49</v>
      </c>
      <c r="E23" s="12">
        <f t="shared" si="1"/>
        <v>52.5490553240726</v>
      </c>
      <c r="F23" s="13">
        <v>54.8571840627727</v>
      </c>
      <c r="G23" s="12">
        <f t="shared" si="0"/>
        <v>2.30812873870012</v>
      </c>
    </row>
    <row r="24" spans="1:7">
      <c r="A24" s="9">
        <v>23</v>
      </c>
      <c r="B24" s="10" t="s">
        <v>60</v>
      </c>
      <c r="C24" s="10" t="s">
        <v>61</v>
      </c>
      <c r="D24" s="11" t="s">
        <v>55</v>
      </c>
      <c r="E24" s="12">
        <f t="shared" si="1"/>
        <v>55.1020708885097</v>
      </c>
      <c r="F24" s="13">
        <v>62.1394512730382</v>
      </c>
      <c r="G24" s="12">
        <f t="shared" si="0"/>
        <v>7.03738038452853</v>
      </c>
    </row>
    <row r="25" s="1" customFormat="1" spans="1:7">
      <c r="A25" s="9">
        <v>24</v>
      </c>
      <c r="B25" s="10" t="s">
        <v>44</v>
      </c>
      <c r="C25" s="10" t="s">
        <v>27</v>
      </c>
      <c r="D25" s="11" t="s">
        <v>62</v>
      </c>
      <c r="E25" s="12">
        <f t="shared" si="1"/>
        <v>63.4993258275517</v>
      </c>
      <c r="F25" s="13">
        <v>72.6829854031474</v>
      </c>
      <c r="G25" s="12">
        <f t="shared" si="0"/>
        <v>9.18365957559567</v>
      </c>
    </row>
    <row r="26" spans="1:7">
      <c r="A26" s="9">
        <v>25</v>
      </c>
      <c r="B26" s="10" t="s">
        <v>63</v>
      </c>
      <c r="C26" s="10" t="s">
        <v>18</v>
      </c>
      <c r="D26" s="11" t="s">
        <v>49</v>
      </c>
      <c r="E26" s="12">
        <f t="shared" ref="E26:E33" si="2">(((B26+273)^4+(110000000*D26^0.6/(0.95*0.075^0.4))*(B26-C26))^0.25)-273</f>
        <v>27.2173919013417</v>
      </c>
      <c r="F26" s="13">
        <v>27.5077527219386</v>
      </c>
      <c r="G26" s="12">
        <f t="shared" si="0"/>
        <v>0.290360820596874</v>
      </c>
    </row>
    <row r="27" spans="1:7">
      <c r="A27" s="9">
        <v>26</v>
      </c>
      <c r="B27" s="10" t="s">
        <v>63</v>
      </c>
      <c r="C27" s="10" t="s">
        <v>18</v>
      </c>
      <c r="D27" s="11" t="s">
        <v>49</v>
      </c>
      <c r="E27" s="12">
        <f t="shared" si="2"/>
        <v>27.2173919013417</v>
      </c>
      <c r="F27" s="13">
        <v>27.5077527219386</v>
      </c>
      <c r="G27" s="12">
        <f t="shared" si="0"/>
        <v>0.290360820596874</v>
      </c>
    </row>
    <row r="28" spans="1:7">
      <c r="A28" s="9">
        <v>27</v>
      </c>
      <c r="B28" s="10" t="s">
        <v>64</v>
      </c>
      <c r="C28" s="10" t="s">
        <v>65</v>
      </c>
      <c r="D28" s="11" t="s">
        <v>66</v>
      </c>
      <c r="E28" s="12">
        <f t="shared" si="2"/>
        <v>61.2782003738989</v>
      </c>
      <c r="F28" s="13">
        <v>65.6566046920525</v>
      </c>
      <c r="G28" s="12">
        <f t="shared" si="0"/>
        <v>4.37840431815357</v>
      </c>
    </row>
    <row r="29" spans="1:7">
      <c r="A29" s="9">
        <v>28</v>
      </c>
      <c r="B29" s="10" t="s">
        <v>64</v>
      </c>
      <c r="C29" s="10" t="s">
        <v>65</v>
      </c>
      <c r="D29" s="11" t="s">
        <v>66</v>
      </c>
      <c r="E29" s="12">
        <f t="shared" si="2"/>
        <v>61.2782003738989</v>
      </c>
      <c r="F29" s="13">
        <v>65.6566046920525</v>
      </c>
      <c r="G29" s="12">
        <f t="shared" si="0"/>
        <v>4.37840431815357</v>
      </c>
    </row>
    <row r="30" spans="1:7">
      <c r="A30" s="9">
        <v>29</v>
      </c>
      <c r="B30" s="10" t="s">
        <v>67</v>
      </c>
      <c r="C30" s="10" t="s">
        <v>68</v>
      </c>
      <c r="D30" s="11" t="s">
        <v>66</v>
      </c>
      <c r="E30" s="12">
        <f t="shared" si="2"/>
        <v>33.1419494627199</v>
      </c>
      <c r="F30" s="13">
        <v>34.035892001856</v>
      </c>
      <c r="G30" s="12">
        <f t="shared" si="0"/>
        <v>0.893942539136063</v>
      </c>
    </row>
    <row r="31" spans="1:7">
      <c r="A31" s="9">
        <v>30</v>
      </c>
      <c r="B31" s="10" t="s">
        <v>67</v>
      </c>
      <c r="C31" s="10" t="s">
        <v>68</v>
      </c>
      <c r="D31" s="11" t="s">
        <v>66</v>
      </c>
      <c r="E31" s="12">
        <f t="shared" si="2"/>
        <v>33.1419494627199</v>
      </c>
      <c r="F31" s="13">
        <v>34.035892001856</v>
      </c>
      <c r="G31" s="12">
        <f t="shared" si="0"/>
        <v>0.893942539136063</v>
      </c>
    </row>
    <row r="32" spans="1:7">
      <c r="A32" s="9">
        <v>31</v>
      </c>
      <c r="B32" s="10" t="s">
        <v>64</v>
      </c>
      <c r="C32" s="10" t="s">
        <v>65</v>
      </c>
      <c r="D32" s="11" t="s">
        <v>66</v>
      </c>
      <c r="E32" s="12">
        <f t="shared" si="2"/>
        <v>61.2782003738989</v>
      </c>
      <c r="F32" s="13">
        <v>65.6566046920525</v>
      </c>
      <c r="G32" s="12">
        <f t="shared" si="0"/>
        <v>4.37840431815357</v>
      </c>
    </row>
    <row r="33" spans="1:7">
      <c r="A33" s="9">
        <v>32</v>
      </c>
      <c r="B33" s="10" t="s">
        <v>69</v>
      </c>
      <c r="C33" s="10" t="s">
        <v>70</v>
      </c>
      <c r="D33" s="11" t="s">
        <v>71</v>
      </c>
      <c r="E33" s="12">
        <f t="shared" si="2"/>
        <v>52.1510996489191</v>
      </c>
      <c r="F33" s="13">
        <v>54.0403677956395</v>
      </c>
      <c r="G33" s="12">
        <f t="shared" si="0"/>
        <v>1.88926814672038</v>
      </c>
    </row>
    <row r="34" spans="1:7">
      <c r="A34" s="9">
        <v>33</v>
      </c>
      <c r="B34" s="10" t="s">
        <v>72</v>
      </c>
      <c r="C34" s="10" t="s">
        <v>50</v>
      </c>
      <c r="D34" s="11" t="s">
        <v>43</v>
      </c>
      <c r="E34" s="12">
        <f t="shared" ref="E34:E43" si="3">(((B34+273)^4+(110000000*D34^0.6/(0.95*0.075^0.4))*(B34-C34))^0.25)-273</f>
        <v>64.3397796845824</v>
      </c>
      <c r="F34" s="13">
        <v>69.4321417440842</v>
      </c>
      <c r="G34" s="12">
        <f t="shared" si="0"/>
        <v>5.09236205950178</v>
      </c>
    </row>
    <row r="35" spans="1:7">
      <c r="A35" s="9">
        <v>34</v>
      </c>
      <c r="B35" s="10" t="s">
        <v>73</v>
      </c>
      <c r="C35" s="10" t="s">
        <v>63</v>
      </c>
      <c r="D35" s="11" t="s">
        <v>74</v>
      </c>
      <c r="E35" s="12">
        <f t="shared" si="3"/>
        <v>46.6127254993701</v>
      </c>
      <c r="F35" s="13">
        <v>49.1356098391596</v>
      </c>
      <c r="G35" s="12">
        <f t="shared" si="0"/>
        <v>2.52288433978947</v>
      </c>
    </row>
    <row r="36" spans="1:7">
      <c r="A36" s="9">
        <v>35</v>
      </c>
      <c r="B36" s="10" t="s">
        <v>41</v>
      </c>
      <c r="C36" s="10" t="s">
        <v>36</v>
      </c>
      <c r="D36" s="11">
        <v>1.3</v>
      </c>
      <c r="E36" s="12">
        <f t="shared" si="3"/>
        <v>59.0171215728514</v>
      </c>
      <c r="F36" s="13">
        <v>64.5576245438331</v>
      </c>
      <c r="G36" s="12">
        <f t="shared" si="0"/>
        <v>5.54050297098175</v>
      </c>
    </row>
    <row r="37" spans="1:7">
      <c r="A37" s="9">
        <v>36</v>
      </c>
      <c r="B37" s="10" t="s">
        <v>75</v>
      </c>
      <c r="C37" s="10" t="s">
        <v>76</v>
      </c>
      <c r="D37" s="11" t="s">
        <v>28</v>
      </c>
      <c r="E37" s="12">
        <f t="shared" si="3"/>
        <v>57.96716277748</v>
      </c>
      <c r="F37" s="13">
        <v>62.8452309726139</v>
      </c>
      <c r="G37" s="12">
        <f t="shared" si="0"/>
        <v>4.87806819513386</v>
      </c>
    </row>
    <row r="38" spans="1:7">
      <c r="A38" s="9">
        <v>37</v>
      </c>
      <c r="B38" s="10" t="s">
        <v>77</v>
      </c>
      <c r="C38" s="10" t="s">
        <v>78</v>
      </c>
      <c r="D38" s="11">
        <v>1.4</v>
      </c>
      <c r="E38" s="12">
        <f t="shared" si="3"/>
        <v>57.0580637131536</v>
      </c>
      <c r="F38" s="13">
        <v>62.1603501132038</v>
      </c>
      <c r="G38" s="12">
        <f t="shared" si="0"/>
        <v>5.10228640005018</v>
      </c>
    </row>
    <row r="39" spans="1:7">
      <c r="A39" s="9">
        <v>38</v>
      </c>
      <c r="B39" s="10" t="s">
        <v>79</v>
      </c>
      <c r="C39" s="10" t="s">
        <v>57</v>
      </c>
      <c r="D39" s="11" t="s">
        <v>80</v>
      </c>
      <c r="E39" s="12">
        <f t="shared" si="3"/>
        <v>58.579264724424</v>
      </c>
      <c r="F39" s="13">
        <v>63.8323444891089</v>
      </c>
      <c r="G39" s="12">
        <f t="shared" si="0"/>
        <v>5.25307976468486</v>
      </c>
    </row>
    <row r="40" spans="1:7">
      <c r="A40" s="9">
        <v>39</v>
      </c>
      <c r="B40" s="10" t="s">
        <v>81</v>
      </c>
      <c r="C40" s="10" t="s">
        <v>82</v>
      </c>
      <c r="D40" s="11" t="s">
        <v>83</v>
      </c>
      <c r="E40" s="12">
        <f t="shared" si="3"/>
        <v>48.5029889098856</v>
      </c>
      <c r="F40" s="13">
        <v>50.8039154823112</v>
      </c>
      <c r="G40" s="12">
        <f t="shared" si="0"/>
        <v>2.30092657242562</v>
      </c>
    </row>
    <row r="41" spans="1:7">
      <c r="A41" s="9">
        <v>40</v>
      </c>
      <c r="B41" s="10" t="s">
        <v>84</v>
      </c>
      <c r="C41" s="10" t="s">
        <v>85</v>
      </c>
      <c r="D41" s="11" t="s">
        <v>80</v>
      </c>
      <c r="E41" s="12">
        <f t="shared" si="3"/>
        <v>58.0895760279059</v>
      </c>
      <c r="F41" s="13">
        <v>63.1166624105913</v>
      </c>
      <c r="G41" s="12">
        <f t="shared" si="0"/>
        <v>5.02708638268537</v>
      </c>
    </row>
    <row r="42" spans="1:7">
      <c r="A42" s="9">
        <v>41</v>
      </c>
      <c r="B42" s="10" t="s">
        <v>86</v>
      </c>
      <c r="C42" s="10" t="s">
        <v>87</v>
      </c>
      <c r="D42" s="11" t="s">
        <v>49</v>
      </c>
      <c r="E42" s="12">
        <f t="shared" si="3"/>
        <v>41.0050254816504</v>
      </c>
      <c r="F42" s="13">
        <v>42.2406688012229</v>
      </c>
      <c r="G42" s="12">
        <f t="shared" si="0"/>
        <v>1.23564331957248</v>
      </c>
    </row>
    <row r="43" spans="1:7">
      <c r="A43" s="9">
        <v>42</v>
      </c>
      <c r="B43" s="10" t="s">
        <v>88</v>
      </c>
      <c r="C43" s="10" t="s">
        <v>85</v>
      </c>
      <c r="D43" s="11" t="s">
        <v>80</v>
      </c>
      <c r="E43" s="12">
        <f t="shared" si="3"/>
        <v>58.0895760279059</v>
      </c>
      <c r="F43" s="13">
        <v>63.1166624105913</v>
      </c>
      <c r="G43" s="12">
        <f t="shared" si="0"/>
        <v>5.02708638268537</v>
      </c>
    </row>
    <row r="44" spans="1:7">
      <c r="A44" s="9">
        <v>43</v>
      </c>
      <c r="B44" s="10" t="s">
        <v>88</v>
      </c>
      <c r="C44" s="10" t="s">
        <v>85</v>
      </c>
      <c r="D44" s="11" t="s">
        <v>80</v>
      </c>
      <c r="E44" s="12">
        <f t="shared" ref="E44:E55" si="4">(((B44+273)^4+(110000000*D44^0.6/(0.95*0.075^0.4))*(B44-C44))^0.25)-273</f>
        <v>58.0895760279059</v>
      </c>
      <c r="F44" s="13">
        <v>63.1166624105913</v>
      </c>
      <c r="G44" s="12">
        <f t="shared" si="0"/>
        <v>5.02708638268537</v>
      </c>
    </row>
    <row r="45" spans="1:7">
      <c r="A45" s="9">
        <v>44</v>
      </c>
      <c r="B45" s="10" t="s">
        <v>89</v>
      </c>
      <c r="C45" s="10" t="s">
        <v>90</v>
      </c>
      <c r="D45" s="11" t="s">
        <v>71</v>
      </c>
      <c r="E45" s="12">
        <f t="shared" si="4"/>
        <v>56.4590245269464</v>
      </c>
      <c r="F45" s="13">
        <v>58.3308713767158</v>
      </c>
      <c r="G45" s="12">
        <f t="shared" si="0"/>
        <v>1.8718468497694</v>
      </c>
    </row>
    <row r="46" spans="1:7">
      <c r="A46" s="9">
        <v>45</v>
      </c>
      <c r="B46" s="10" t="s">
        <v>91</v>
      </c>
      <c r="C46" s="10" t="s">
        <v>85</v>
      </c>
      <c r="D46" s="11" t="s">
        <v>71</v>
      </c>
      <c r="E46" s="12">
        <f t="shared" si="4"/>
        <v>42.7444071140279</v>
      </c>
      <c r="F46" s="13">
        <v>43.9148404520037</v>
      </c>
      <c r="G46" s="12">
        <f t="shared" si="0"/>
        <v>1.17043333797584</v>
      </c>
    </row>
    <row r="47" spans="1:7">
      <c r="A47" s="9">
        <v>46</v>
      </c>
      <c r="B47" s="10" t="s">
        <v>89</v>
      </c>
      <c r="C47" s="10" t="s">
        <v>90</v>
      </c>
      <c r="D47" s="11" t="s">
        <v>71</v>
      </c>
      <c r="E47" s="12">
        <f t="shared" si="4"/>
        <v>56.4590245269464</v>
      </c>
      <c r="F47" s="13">
        <v>58.3308713767158</v>
      </c>
      <c r="G47" s="12">
        <f t="shared" si="0"/>
        <v>1.8718468497694</v>
      </c>
    </row>
    <row r="48" spans="1:7">
      <c r="A48" s="9">
        <v>47</v>
      </c>
      <c r="B48" s="10" t="s">
        <v>92</v>
      </c>
      <c r="C48" s="10" t="s">
        <v>78</v>
      </c>
      <c r="D48" s="11" t="s">
        <v>74</v>
      </c>
      <c r="E48" s="12">
        <f t="shared" si="4"/>
        <v>40.6377511109723</v>
      </c>
      <c r="F48" s="13">
        <v>42.2710601662114</v>
      </c>
      <c r="G48" s="12">
        <f t="shared" si="0"/>
        <v>1.63330905523908</v>
      </c>
    </row>
    <row r="49" spans="1:7">
      <c r="A49" s="9">
        <v>48</v>
      </c>
      <c r="B49" s="10" t="s">
        <v>93</v>
      </c>
      <c r="C49" s="10" t="s">
        <v>70</v>
      </c>
      <c r="D49" s="11" t="s">
        <v>94</v>
      </c>
      <c r="E49" s="12">
        <f t="shared" si="4"/>
        <v>38.7189097811682</v>
      </c>
      <c r="F49" s="13">
        <v>41.5273108897733</v>
      </c>
      <c r="G49" s="12">
        <f t="shared" si="0"/>
        <v>2.80840110860506</v>
      </c>
    </row>
    <row r="50" spans="1:7">
      <c r="A50" s="9">
        <v>49</v>
      </c>
      <c r="B50" s="10" t="s">
        <v>95</v>
      </c>
      <c r="C50" s="10" t="s">
        <v>23</v>
      </c>
      <c r="D50" s="11" t="s">
        <v>96</v>
      </c>
      <c r="E50" s="12">
        <f t="shared" si="4"/>
        <v>38.5862847756713</v>
      </c>
      <c r="F50" s="13">
        <v>41.6052779588084</v>
      </c>
      <c r="G50" s="12">
        <f t="shared" si="0"/>
        <v>3.01899318313706</v>
      </c>
    </row>
    <row r="51" spans="1:7">
      <c r="A51" s="9">
        <v>50</v>
      </c>
      <c r="B51" s="10" t="s">
        <v>44</v>
      </c>
      <c r="C51" s="10" t="s">
        <v>97</v>
      </c>
      <c r="D51" s="11" t="s">
        <v>98</v>
      </c>
      <c r="E51" s="12">
        <f t="shared" si="4"/>
        <v>46.3392259491412</v>
      </c>
      <c r="F51" s="13">
        <v>51.8740881138652</v>
      </c>
      <c r="G51" s="12">
        <f t="shared" si="0"/>
        <v>5.53486216472403</v>
      </c>
    </row>
    <row r="52" spans="1:7">
      <c r="A52" s="9">
        <v>51</v>
      </c>
      <c r="B52" s="14" t="s">
        <v>93</v>
      </c>
      <c r="C52" s="14" t="s">
        <v>99</v>
      </c>
      <c r="D52" s="15" t="s">
        <v>100</v>
      </c>
      <c r="E52" s="12">
        <f t="shared" si="4"/>
        <v>41.8840361848303</v>
      </c>
      <c r="F52" s="13">
        <v>45.3658021612889</v>
      </c>
      <c r="G52" s="12">
        <f t="shared" si="0"/>
        <v>3.48176597645862</v>
      </c>
    </row>
    <row r="53" spans="1:7">
      <c r="A53" s="9">
        <v>52</v>
      </c>
      <c r="B53" s="14" t="s">
        <v>101</v>
      </c>
      <c r="C53" s="14" t="s">
        <v>102</v>
      </c>
      <c r="D53" s="15" t="s">
        <v>103</v>
      </c>
      <c r="E53" s="12">
        <f t="shared" si="4"/>
        <v>28.369606400481</v>
      </c>
      <c r="F53" s="13">
        <v>28.744592409749</v>
      </c>
      <c r="G53" s="12">
        <f t="shared" si="0"/>
        <v>0.374986009268039</v>
      </c>
    </row>
    <row r="54" spans="1:7">
      <c r="A54" s="9">
        <v>53</v>
      </c>
      <c r="B54" s="14" t="s">
        <v>101</v>
      </c>
      <c r="C54" s="14" t="s">
        <v>102</v>
      </c>
      <c r="D54" s="15" t="s">
        <v>103</v>
      </c>
      <c r="E54" s="12">
        <f t="shared" si="4"/>
        <v>28.369606400481</v>
      </c>
      <c r="F54" s="13">
        <v>28.744592409749</v>
      </c>
      <c r="G54" s="12">
        <f t="shared" si="0"/>
        <v>0.374986009268039</v>
      </c>
    </row>
    <row r="55" spans="1:7">
      <c r="A55" s="9">
        <v>54</v>
      </c>
      <c r="B55" s="10" t="s">
        <v>101</v>
      </c>
      <c r="C55" s="10" t="s">
        <v>102</v>
      </c>
      <c r="D55" s="11" t="s">
        <v>103</v>
      </c>
      <c r="E55" s="12">
        <f t="shared" si="4"/>
        <v>28.369606400481</v>
      </c>
      <c r="F55" s="13">
        <v>28.744592409749</v>
      </c>
      <c r="G55" s="12">
        <f t="shared" si="0"/>
        <v>0.374986009268039</v>
      </c>
    </row>
    <row r="56" spans="1:7">
      <c r="A56" s="9">
        <v>55</v>
      </c>
      <c r="B56" s="10" t="s">
        <v>8</v>
      </c>
      <c r="C56" s="10" t="s">
        <v>104</v>
      </c>
      <c r="D56" s="11" t="s">
        <v>83</v>
      </c>
      <c r="E56" s="12">
        <f t="shared" ref="E56:E67" si="5">(((B56+273)^4+(110000000*D56^0.6/(0.95*0.075^0.4))*(B56-C56))^0.25)-273</f>
        <v>29.0196928336278</v>
      </c>
      <c r="F56" s="13">
        <v>29.4138742094572</v>
      </c>
      <c r="G56" s="12">
        <f t="shared" si="0"/>
        <v>0.394181375829401</v>
      </c>
    </row>
    <row r="57" spans="1:7">
      <c r="A57" s="9">
        <v>56</v>
      </c>
      <c r="B57" s="10" t="s">
        <v>8</v>
      </c>
      <c r="C57" s="10" t="s">
        <v>104</v>
      </c>
      <c r="D57" s="11" t="s">
        <v>83</v>
      </c>
      <c r="E57" s="12">
        <f t="shared" si="5"/>
        <v>29.0196928336278</v>
      </c>
      <c r="F57" s="13">
        <v>29.4138742094572</v>
      </c>
      <c r="G57" s="12">
        <f t="shared" si="0"/>
        <v>0.394181375829401</v>
      </c>
    </row>
    <row r="58" spans="1:7">
      <c r="A58" s="9">
        <v>57</v>
      </c>
      <c r="B58" s="10" t="s">
        <v>8</v>
      </c>
      <c r="C58" s="10" t="s">
        <v>104</v>
      </c>
      <c r="D58" s="11" t="s">
        <v>83</v>
      </c>
      <c r="E58" s="12">
        <f t="shared" si="5"/>
        <v>29.0196928336278</v>
      </c>
      <c r="F58" s="13">
        <v>29.4138742094572</v>
      </c>
      <c r="G58" s="12">
        <f t="shared" si="0"/>
        <v>0.394181375829401</v>
      </c>
    </row>
    <row r="59" spans="1:7">
      <c r="A59" s="9">
        <v>58</v>
      </c>
      <c r="B59" s="10" t="s">
        <v>8</v>
      </c>
      <c r="C59" s="10" t="s">
        <v>104</v>
      </c>
      <c r="D59" s="11" t="s">
        <v>83</v>
      </c>
      <c r="E59" s="12">
        <f t="shared" si="5"/>
        <v>29.0196928336278</v>
      </c>
      <c r="F59" s="13">
        <v>29.4138742094572</v>
      </c>
      <c r="G59" s="12">
        <f t="shared" si="0"/>
        <v>0.394181375829401</v>
      </c>
    </row>
    <row r="60" spans="1:7">
      <c r="A60" s="9">
        <v>59</v>
      </c>
      <c r="B60" s="10" t="s">
        <v>8</v>
      </c>
      <c r="C60" s="10" t="s">
        <v>104</v>
      </c>
      <c r="D60" s="11" t="s">
        <v>83</v>
      </c>
      <c r="E60" s="12">
        <f t="shared" si="5"/>
        <v>29.0196928336278</v>
      </c>
      <c r="F60" s="13">
        <v>29.4138742094572</v>
      </c>
      <c r="G60" s="12">
        <f t="shared" si="0"/>
        <v>0.394181375829401</v>
      </c>
    </row>
    <row r="61" spans="1:7">
      <c r="A61" s="9">
        <v>60</v>
      </c>
      <c r="B61" s="10" t="s">
        <v>105</v>
      </c>
      <c r="C61" s="10" t="s">
        <v>106</v>
      </c>
      <c r="D61" s="11" t="s">
        <v>107</v>
      </c>
      <c r="E61" s="12">
        <f t="shared" si="5"/>
        <v>39.0986958100231</v>
      </c>
      <c r="F61" s="13">
        <v>41.895290689507</v>
      </c>
      <c r="G61" s="12">
        <f t="shared" si="0"/>
        <v>2.79659487948388</v>
      </c>
    </row>
    <row r="62" spans="1:7">
      <c r="A62" s="9">
        <v>61</v>
      </c>
      <c r="B62" s="10" t="s">
        <v>105</v>
      </c>
      <c r="C62" s="10" t="s">
        <v>106</v>
      </c>
      <c r="D62" s="11" t="s">
        <v>80</v>
      </c>
      <c r="E62" s="12">
        <f t="shared" si="5"/>
        <v>38.2220221885069</v>
      </c>
      <c r="F62" s="13">
        <v>40.6229680698873</v>
      </c>
      <c r="G62" s="12">
        <f t="shared" si="0"/>
        <v>2.40094588138039</v>
      </c>
    </row>
    <row r="63" spans="1:7">
      <c r="A63" s="9">
        <v>62</v>
      </c>
      <c r="B63" s="10" t="s">
        <v>68</v>
      </c>
      <c r="C63" s="10" t="s">
        <v>76</v>
      </c>
      <c r="D63" s="11" t="s">
        <v>62</v>
      </c>
      <c r="E63" s="12">
        <f t="shared" si="5"/>
        <v>30.3210412525759</v>
      </c>
      <c r="F63" s="13">
        <v>31.4713515680164</v>
      </c>
      <c r="G63" s="12">
        <f t="shared" si="0"/>
        <v>1.15031031544047</v>
      </c>
    </row>
    <row r="64" spans="1:7">
      <c r="A64" s="9">
        <v>63</v>
      </c>
      <c r="B64" s="10" t="s">
        <v>97</v>
      </c>
      <c r="C64" s="10" t="s">
        <v>11</v>
      </c>
      <c r="D64" s="11" t="s">
        <v>62</v>
      </c>
      <c r="E64" s="12">
        <f t="shared" si="5"/>
        <v>37.5592981485461</v>
      </c>
      <c r="F64" s="13">
        <v>40.7438469515707</v>
      </c>
      <c r="G64" s="12">
        <f t="shared" si="0"/>
        <v>3.18454880302457</v>
      </c>
    </row>
    <row r="65" spans="1:7">
      <c r="A65" s="9">
        <v>64</v>
      </c>
      <c r="B65" s="10" t="s">
        <v>85</v>
      </c>
      <c r="C65" s="10" t="s">
        <v>63</v>
      </c>
      <c r="D65" s="11" t="s">
        <v>49</v>
      </c>
      <c r="E65" s="12">
        <f t="shared" si="5"/>
        <v>31.2349051703784</v>
      </c>
      <c r="F65" s="13">
        <v>31.8231431754348</v>
      </c>
      <c r="G65" s="12">
        <f t="shared" si="0"/>
        <v>0.588238005056404</v>
      </c>
    </row>
    <row r="66" spans="1:7">
      <c r="A66" s="9">
        <v>65</v>
      </c>
      <c r="B66" s="10" t="s">
        <v>85</v>
      </c>
      <c r="C66" s="10" t="s">
        <v>63</v>
      </c>
      <c r="D66" s="11" t="s">
        <v>80</v>
      </c>
      <c r="E66" s="12">
        <f t="shared" si="5"/>
        <v>33.5986807682946</v>
      </c>
      <c r="F66" s="13">
        <v>35.1438689059884</v>
      </c>
      <c r="G66" s="12">
        <f t="shared" ref="G66:G129" si="6">F66-E66</f>
        <v>1.54518813769383</v>
      </c>
    </row>
    <row r="67" spans="1:7">
      <c r="A67" s="9">
        <v>66</v>
      </c>
      <c r="B67" s="10" t="s">
        <v>70</v>
      </c>
      <c r="C67" s="10" t="s">
        <v>36</v>
      </c>
      <c r="D67" s="11" t="s">
        <v>108</v>
      </c>
      <c r="E67" s="12">
        <f t="shared" si="5"/>
        <v>30.1890837108378</v>
      </c>
      <c r="F67" s="13">
        <v>31.5215667400428</v>
      </c>
      <c r="G67" s="12">
        <f t="shared" si="6"/>
        <v>1.33248302920501</v>
      </c>
    </row>
    <row r="68" spans="1:7">
      <c r="A68" s="9">
        <v>67</v>
      </c>
      <c r="B68" s="10" t="s">
        <v>68</v>
      </c>
      <c r="C68" s="10" t="s">
        <v>36</v>
      </c>
      <c r="D68" s="11" t="s">
        <v>28</v>
      </c>
      <c r="E68" s="12">
        <f t="shared" ref="E68:E79" si="7">(((B68+273)^4+(110000000*D68^0.6/(0.95*0.075^0.4))*(B68-C68))^0.25)-273</f>
        <v>34.596611846441</v>
      </c>
      <c r="F68" s="13">
        <v>36.3556451772544</v>
      </c>
      <c r="G68" s="12">
        <f t="shared" si="6"/>
        <v>1.75903333081344</v>
      </c>
    </row>
    <row r="69" spans="1:7">
      <c r="A69" s="9">
        <v>68</v>
      </c>
      <c r="B69" s="10" t="s">
        <v>109</v>
      </c>
      <c r="C69" s="10" t="s">
        <v>48</v>
      </c>
      <c r="D69" s="11" t="s">
        <v>43</v>
      </c>
      <c r="E69" s="12">
        <f t="shared" si="7"/>
        <v>27.2853562993971</v>
      </c>
      <c r="F69" s="13">
        <v>27.8568991200254</v>
      </c>
      <c r="G69" s="12">
        <f t="shared" si="6"/>
        <v>0.571542820628348</v>
      </c>
    </row>
    <row r="70" spans="1:7">
      <c r="A70" s="9">
        <v>69</v>
      </c>
      <c r="B70" s="10" t="s">
        <v>110</v>
      </c>
      <c r="C70" s="10" t="s">
        <v>111</v>
      </c>
      <c r="D70" s="11" t="s">
        <v>55</v>
      </c>
      <c r="E70" s="12">
        <f t="shared" si="7"/>
        <v>33.5319754849305</v>
      </c>
      <c r="F70" s="13">
        <v>35.7353604465636</v>
      </c>
      <c r="G70" s="12">
        <f t="shared" si="6"/>
        <v>2.20338496163308</v>
      </c>
    </row>
    <row r="71" spans="1:7">
      <c r="A71" s="9">
        <v>70</v>
      </c>
      <c r="B71" s="10" t="s">
        <v>110</v>
      </c>
      <c r="C71" s="10" t="s">
        <v>111</v>
      </c>
      <c r="D71" s="11" t="s">
        <v>55</v>
      </c>
      <c r="E71" s="12">
        <f t="shared" si="7"/>
        <v>33.5319754849305</v>
      </c>
      <c r="F71" s="13">
        <v>35.7353604465636</v>
      </c>
      <c r="G71" s="12">
        <f t="shared" si="6"/>
        <v>2.20338496163308</v>
      </c>
    </row>
    <row r="72" spans="1:7">
      <c r="A72" s="9">
        <v>71</v>
      </c>
      <c r="B72" s="10" t="s">
        <v>82</v>
      </c>
      <c r="C72" s="10" t="s">
        <v>99</v>
      </c>
      <c r="D72" s="11" t="s">
        <v>112</v>
      </c>
      <c r="E72" s="12">
        <f t="shared" si="7"/>
        <v>34.7273719587689</v>
      </c>
      <c r="F72" s="13">
        <v>37.2963006942808</v>
      </c>
      <c r="G72" s="12">
        <f t="shared" si="6"/>
        <v>2.56892873551195</v>
      </c>
    </row>
    <row r="73" spans="1:7">
      <c r="A73" s="9">
        <v>72</v>
      </c>
      <c r="B73" s="10" t="s">
        <v>82</v>
      </c>
      <c r="C73" s="10" t="s">
        <v>109</v>
      </c>
      <c r="D73" s="11" t="s">
        <v>55</v>
      </c>
      <c r="E73" s="12">
        <f t="shared" si="7"/>
        <v>33.6249743183964</v>
      </c>
      <c r="F73" s="13">
        <v>35.8263877025501</v>
      </c>
      <c r="G73" s="12">
        <f t="shared" si="6"/>
        <v>2.20141338415373</v>
      </c>
    </row>
    <row r="74" spans="1:7">
      <c r="A74" s="9">
        <v>73</v>
      </c>
      <c r="B74" s="10" t="s">
        <v>106</v>
      </c>
      <c r="C74" s="10" t="s">
        <v>61</v>
      </c>
      <c r="D74" s="11" t="s">
        <v>40</v>
      </c>
      <c r="E74" s="12">
        <f t="shared" si="7"/>
        <v>34.1796200626131</v>
      </c>
      <c r="F74" s="13">
        <v>36.901199666198</v>
      </c>
      <c r="G74" s="12">
        <f t="shared" si="6"/>
        <v>2.72157960358492</v>
      </c>
    </row>
    <row r="75" spans="1:7">
      <c r="A75" s="9">
        <v>74</v>
      </c>
      <c r="B75" s="10" t="s">
        <v>113</v>
      </c>
      <c r="C75" s="10" t="s">
        <v>18</v>
      </c>
      <c r="D75" s="11" t="s">
        <v>55</v>
      </c>
      <c r="E75" s="12">
        <f t="shared" si="7"/>
        <v>32.1750480956641</v>
      </c>
      <c r="F75" s="13">
        <v>34.1310799323713</v>
      </c>
      <c r="G75" s="12">
        <f t="shared" si="6"/>
        <v>1.95603183670718</v>
      </c>
    </row>
    <row r="76" spans="1:7">
      <c r="A76" s="9">
        <v>75</v>
      </c>
      <c r="B76" s="10" t="s">
        <v>109</v>
      </c>
      <c r="C76" s="10" t="s">
        <v>114</v>
      </c>
      <c r="D76" s="11" t="s">
        <v>62</v>
      </c>
      <c r="E76" s="12">
        <f t="shared" si="7"/>
        <v>43.7135515844359</v>
      </c>
      <c r="F76" s="13">
        <v>49.3682471934227</v>
      </c>
      <c r="G76" s="12">
        <f t="shared" si="6"/>
        <v>5.65469560898675</v>
      </c>
    </row>
    <row r="77" spans="1:7">
      <c r="A77" s="9">
        <v>76</v>
      </c>
      <c r="B77" s="10" t="s">
        <v>115</v>
      </c>
      <c r="C77" s="10" t="s">
        <v>15</v>
      </c>
      <c r="D77" s="11" t="s">
        <v>100</v>
      </c>
      <c r="E77" s="12">
        <f t="shared" si="7"/>
        <v>42.5053303968406</v>
      </c>
      <c r="F77" s="13">
        <v>46.8834480576606</v>
      </c>
      <c r="G77" s="12">
        <f t="shared" si="6"/>
        <v>4.37811766081997</v>
      </c>
    </row>
    <row r="78" spans="1:7">
      <c r="A78" s="9">
        <v>77</v>
      </c>
      <c r="B78" s="10" t="s">
        <v>116</v>
      </c>
      <c r="C78" s="10" t="s">
        <v>109</v>
      </c>
      <c r="D78" s="11" t="s">
        <v>117</v>
      </c>
      <c r="E78" s="12">
        <f t="shared" si="7"/>
        <v>33.9425827453923</v>
      </c>
      <c r="F78" s="13">
        <v>36.156349529456</v>
      </c>
      <c r="G78" s="12">
        <f t="shared" si="6"/>
        <v>2.21376678406369</v>
      </c>
    </row>
    <row r="79" spans="1:7">
      <c r="A79" s="9">
        <v>78</v>
      </c>
      <c r="B79" s="10" t="s">
        <v>30</v>
      </c>
      <c r="C79" s="10" t="s">
        <v>118</v>
      </c>
      <c r="D79" s="11" t="s">
        <v>80</v>
      </c>
      <c r="E79" s="12">
        <f t="shared" si="7"/>
        <v>37.0631357819676</v>
      </c>
      <c r="F79" s="13">
        <v>40.0309337207751</v>
      </c>
      <c r="G79" s="12">
        <f t="shared" si="6"/>
        <v>2.96779793880754</v>
      </c>
    </row>
    <row r="80" spans="1:7">
      <c r="A80" s="9">
        <v>79</v>
      </c>
      <c r="B80" s="10" t="s">
        <v>30</v>
      </c>
      <c r="C80" s="10" t="s">
        <v>12</v>
      </c>
      <c r="D80" s="11" t="s">
        <v>94</v>
      </c>
      <c r="E80" s="12">
        <f t="shared" ref="E80:E90" si="8">(((B80+273)^4+(110000000*D80^0.6/(0.95*0.075^0.4))*(B80-C80))^0.25)-273</f>
        <v>35.7946900466077</v>
      </c>
      <c r="F80" s="13">
        <v>38.8926553291394</v>
      </c>
      <c r="G80" s="12">
        <f t="shared" si="6"/>
        <v>3.09796528253172</v>
      </c>
    </row>
    <row r="81" spans="1:7">
      <c r="A81" s="9">
        <v>80</v>
      </c>
      <c r="B81" s="14" t="s">
        <v>119</v>
      </c>
      <c r="C81" s="14" t="s">
        <v>92</v>
      </c>
      <c r="D81" s="15" t="s">
        <v>71</v>
      </c>
      <c r="E81" s="12">
        <f t="shared" si="8"/>
        <v>44.9272123138388</v>
      </c>
      <c r="F81" s="13">
        <v>45.9517268890301</v>
      </c>
      <c r="G81" s="12">
        <f t="shared" si="6"/>
        <v>1.02451457519128</v>
      </c>
    </row>
    <row r="82" spans="1:7">
      <c r="A82" s="9">
        <v>81</v>
      </c>
      <c r="B82" s="14" t="s">
        <v>14</v>
      </c>
      <c r="C82" s="14" t="s">
        <v>120</v>
      </c>
      <c r="D82" s="15" t="s">
        <v>74</v>
      </c>
      <c r="E82" s="12">
        <f t="shared" si="8"/>
        <v>33.8728683612165</v>
      </c>
      <c r="F82" s="13">
        <v>34.5464745170246</v>
      </c>
      <c r="G82" s="12">
        <f t="shared" si="6"/>
        <v>0.673606155808052</v>
      </c>
    </row>
    <row r="83" spans="1:7">
      <c r="A83" s="9">
        <v>82</v>
      </c>
      <c r="B83" s="14" t="s">
        <v>121</v>
      </c>
      <c r="C83" s="14" t="s">
        <v>81</v>
      </c>
      <c r="D83" s="15" t="s">
        <v>28</v>
      </c>
      <c r="E83" s="12">
        <f t="shared" si="8"/>
        <v>62.9108824030742</v>
      </c>
      <c r="F83" s="13">
        <v>67.41953764371</v>
      </c>
      <c r="G83" s="12">
        <f t="shared" si="6"/>
        <v>4.5086552406358</v>
      </c>
    </row>
    <row r="84" spans="1:7">
      <c r="A84" s="9">
        <v>83</v>
      </c>
      <c r="B84" s="14" t="s">
        <v>122</v>
      </c>
      <c r="C84" s="14" t="s">
        <v>123</v>
      </c>
      <c r="D84" s="15" t="s">
        <v>124</v>
      </c>
      <c r="E84" s="12">
        <f t="shared" si="8"/>
        <v>47.3088042089129</v>
      </c>
      <c r="F84" s="13">
        <v>49.2377300360038</v>
      </c>
      <c r="G84" s="12">
        <f t="shared" si="6"/>
        <v>1.92892582709087</v>
      </c>
    </row>
    <row r="85" spans="1:7">
      <c r="A85" s="9">
        <v>84</v>
      </c>
      <c r="B85" s="14" t="s">
        <v>125</v>
      </c>
      <c r="C85" s="14" t="s">
        <v>126</v>
      </c>
      <c r="D85" s="15" t="s">
        <v>49</v>
      </c>
      <c r="E85" s="12">
        <f t="shared" si="8"/>
        <v>46.3468223379992</v>
      </c>
      <c r="F85" s="13">
        <v>47.6814267743609</v>
      </c>
      <c r="G85" s="12">
        <f t="shared" si="6"/>
        <v>1.33460443636166</v>
      </c>
    </row>
    <row r="86" spans="1:7">
      <c r="A86" s="9">
        <v>85</v>
      </c>
      <c r="B86" s="14" t="s">
        <v>127</v>
      </c>
      <c r="C86" s="14" t="s">
        <v>128</v>
      </c>
      <c r="D86" s="15">
        <v>3.5</v>
      </c>
      <c r="E86" s="12">
        <f t="shared" si="8"/>
        <v>49.0379671328</v>
      </c>
      <c r="F86" s="13">
        <v>53.5980926314117</v>
      </c>
      <c r="G86" s="12">
        <f t="shared" si="6"/>
        <v>4.56012549861168</v>
      </c>
    </row>
    <row r="87" spans="1:7">
      <c r="A87" s="9">
        <v>86</v>
      </c>
      <c r="B87" s="14" t="s">
        <v>129</v>
      </c>
      <c r="C87" s="14" t="s">
        <v>130</v>
      </c>
      <c r="D87" s="15" t="s">
        <v>131</v>
      </c>
      <c r="E87" s="12">
        <f t="shared" si="8"/>
        <v>35.9236645610611</v>
      </c>
      <c r="F87" s="13">
        <v>36.1525716949172</v>
      </c>
      <c r="G87" s="12">
        <f t="shared" si="6"/>
        <v>0.22890713385614</v>
      </c>
    </row>
    <row r="88" spans="1:7">
      <c r="A88" s="9">
        <v>87</v>
      </c>
      <c r="B88" s="14" t="s">
        <v>56</v>
      </c>
      <c r="C88" s="14" t="s">
        <v>130</v>
      </c>
      <c r="D88" s="15" t="s">
        <v>131</v>
      </c>
      <c r="E88" s="12">
        <f t="shared" si="8"/>
        <v>40.2219503187853</v>
      </c>
      <c r="F88" s="13">
        <v>40.6900059917169</v>
      </c>
      <c r="G88" s="12">
        <f t="shared" si="6"/>
        <v>0.468055672931627</v>
      </c>
    </row>
    <row r="89" spans="1:7">
      <c r="A89" s="9">
        <v>88</v>
      </c>
      <c r="B89" s="14" t="s">
        <v>132</v>
      </c>
      <c r="C89" s="14" t="s">
        <v>133</v>
      </c>
      <c r="D89" s="15" t="s">
        <v>52</v>
      </c>
      <c r="E89" s="12">
        <f t="shared" si="8"/>
        <v>41.9701760666902</v>
      </c>
      <c r="F89" s="13">
        <v>42.3441459931772</v>
      </c>
      <c r="G89" s="12">
        <f t="shared" si="6"/>
        <v>0.373969926486986</v>
      </c>
    </row>
    <row r="90" spans="1:7">
      <c r="A90" s="9">
        <v>89</v>
      </c>
      <c r="B90" s="14" t="s">
        <v>134</v>
      </c>
      <c r="C90" s="14" t="s">
        <v>135</v>
      </c>
      <c r="D90" s="15" t="s">
        <v>46</v>
      </c>
      <c r="E90" s="12">
        <f t="shared" si="8"/>
        <v>33.9732560125325</v>
      </c>
      <c r="F90" s="13">
        <v>34.8015933459773</v>
      </c>
      <c r="G90" s="12">
        <f t="shared" si="6"/>
        <v>0.828337333444757</v>
      </c>
    </row>
    <row r="91" spans="1:7">
      <c r="A91" s="9">
        <v>90</v>
      </c>
      <c r="B91" s="14" t="s">
        <v>121</v>
      </c>
      <c r="C91" s="14" t="s">
        <v>129</v>
      </c>
      <c r="D91" s="15">
        <v>1.2</v>
      </c>
      <c r="E91" s="12">
        <f t="shared" ref="E91:E100" si="9">(((B91+273)^4+(110000000*D91^0.6/(0.95*0.075^0.4))*(B91-C91))^0.25)-273</f>
        <v>62.6705085077771</v>
      </c>
      <c r="F91" s="13">
        <v>67.1338964350373</v>
      </c>
      <c r="G91" s="12">
        <f t="shared" si="6"/>
        <v>4.46338792726023</v>
      </c>
    </row>
    <row r="92" spans="1:7">
      <c r="A92" s="9">
        <v>91</v>
      </c>
      <c r="B92" s="14" t="s">
        <v>41</v>
      </c>
      <c r="C92" s="14" t="s">
        <v>17</v>
      </c>
      <c r="D92" s="15" t="s">
        <v>28</v>
      </c>
      <c r="E92" s="12">
        <f t="shared" si="9"/>
        <v>39.0532722246887</v>
      </c>
      <c r="F92" s="13">
        <v>40.3900676864746</v>
      </c>
      <c r="G92" s="12">
        <f t="shared" si="6"/>
        <v>1.33679546178588</v>
      </c>
    </row>
    <row r="93" spans="1:7">
      <c r="A93" s="9">
        <v>92</v>
      </c>
      <c r="B93" s="14" t="s">
        <v>56</v>
      </c>
      <c r="C93" s="14" t="s">
        <v>136</v>
      </c>
      <c r="D93" s="15" t="s">
        <v>131</v>
      </c>
      <c r="E93" s="12">
        <f t="shared" si="9"/>
        <v>40.2219503187853</v>
      </c>
      <c r="F93" s="13">
        <v>40.6900059917169</v>
      </c>
      <c r="G93" s="12">
        <f t="shared" si="6"/>
        <v>0.468055672931627</v>
      </c>
    </row>
    <row r="94" spans="1:7">
      <c r="A94" s="9">
        <v>93</v>
      </c>
      <c r="B94" s="14" t="s">
        <v>122</v>
      </c>
      <c r="C94" s="14" t="s">
        <v>123</v>
      </c>
      <c r="D94" s="15" t="s">
        <v>124</v>
      </c>
      <c r="E94" s="12">
        <f t="shared" si="9"/>
        <v>47.3088042089129</v>
      </c>
      <c r="F94" s="13">
        <v>49.2377300360038</v>
      </c>
      <c r="G94" s="12">
        <f t="shared" si="6"/>
        <v>1.92892582709087</v>
      </c>
    </row>
    <row r="95" spans="1:7">
      <c r="A95" s="9">
        <v>94</v>
      </c>
      <c r="B95" s="14" t="s">
        <v>134</v>
      </c>
      <c r="C95" s="14" t="s">
        <v>135</v>
      </c>
      <c r="D95" s="15" t="s">
        <v>46</v>
      </c>
      <c r="E95" s="12">
        <f t="shared" si="9"/>
        <v>33.9732560125325</v>
      </c>
      <c r="F95" s="13">
        <v>34.8015933459773</v>
      </c>
      <c r="G95" s="12">
        <f t="shared" si="6"/>
        <v>0.828337333444757</v>
      </c>
    </row>
    <row r="96" spans="1:7">
      <c r="A96" s="9">
        <v>95</v>
      </c>
      <c r="B96" s="14" t="s">
        <v>137</v>
      </c>
      <c r="C96" s="14" t="s">
        <v>128</v>
      </c>
      <c r="D96" s="15" t="s">
        <v>28</v>
      </c>
      <c r="E96" s="12">
        <f t="shared" si="9"/>
        <v>28.5759118486411</v>
      </c>
      <c r="F96" s="13">
        <v>27.5510080703161</v>
      </c>
      <c r="G96" s="12">
        <f t="shared" si="6"/>
        <v>-1.02490377832495</v>
      </c>
    </row>
    <row r="97" spans="1:7">
      <c r="A97" s="9">
        <v>96</v>
      </c>
      <c r="B97" s="14" t="s">
        <v>56</v>
      </c>
      <c r="C97" s="14" t="s">
        <v>86</v>
      </c>
      <c r="D97" s="15" t="s">
        <v>94</v>
      </c>
      <c r="E97" s="12">
        <f t="shared" si="9"/>
        <v>46.4465853972526</v>
      </c>
      <c r="F97" s="13">
        <v>49.4414801034822</v>
      </c>
      <c r="G97" s="12">
        <f t="shared" si="6"/>
        <v>2.99489470622955</v>
      </c>
    </row>
    <row r="98" spans="1:7">
      <c r="A98" s="9">
        <v>97</v>
      </c>
      <c r="B98" s="14" t="s">
        <v>127</v>
      </c>
      <c r="C98" s="14" t="s">
        <v>138</v>
      </c>
      <c r="D98" s="15" t="s">
        <v>52</v>
      </c>
      <c r="E98" s="12">
        <f t="shared" si="9"/>
        <v>39.8203838294663</v>
      </c>
      <c r="F98" s="13">
        <v>40.0273054392281</v>
      </c>
      <c r="G98" s="12">
        <f t="shared" si="6"/>
        <v>0.206921609761835</v>
      </c>
    </row>
    <row r="99" spans="1:7">
      <c r="A99" s="9">
        <v>98</v>
      </c>
      <c r="B99" s="14" t="s">
        <v>56</v>
      </c>
      <c r="C99" s="14" t="s">
        <v>86</v>
      </c>
      <c r="D99" s="15" t="s">
        <v>94</v>
      </c>
      <c r="E99" s="12">
        <f t="shared" si="9"/>
        <v>46.4465853972526</v>
      </c>
      <c r="F99" s="13">
        <v>49.4414801034822</v>
      </c>
      <c r="G99" s="12">
        <f t="shared" si="6"/>
        <v>2.99489470622955</v>
      </c>
    </row>
    <row r="100" spans="1:7">
      <c r="A100" s="9">
        <v>99</v>
      </c>
      <c r="B100" s="14" t="s">
        <v>91</v>
      </c>
      <c r="C100" s="14" t="s">
        <v>73</v>
      </c>
      <c r="D100" s="15" t="s">
        <v>83</v>
      </c>
      <c r="E100" s="12">
        <f t="shared" si="9"/>
        <v>35.2050433429881</v>
      </c>
      <c r="F100" s="13">
        <v>35.6131321193936</v>
      </c>
      <c r="G100" s="12">
        <f t="shared" si="6"/>
        <v>0.408088776405478</v>
      </c>
    </row>
    <row r="101" spans="1:7">
      <c r="A101" s="9">
        <v>100</v>
      </c>
      <c r="B101" s="14" t="s">
        <v>139</v>
      </c>
      <c r="C101" s="14" t="s">
        <v>136</v>
      </c>
      <c r="D101" s="15" t="s">
        <v>107</v>
      </c>
      <c r="E101" s="12">
        <f t="shared" ref="E101:E114" si="10">(((B101+273)^4+(110000000*D101^0.6/(0.95*0.075^0.4))*(B101-C101))^0.25)-273</f>
        <v>32.9293889755282</v>
      </c>
      <c r="F101" s="13">
        <v>33.1233466676162</v>
      </c>
      <c r="G101" s="12">
        <f t="shared" si="6"/>
        <v>0.193957692088013</v>
      </c>
    </row>
    <row r="102" spans="1:7">
      <c r="A102" s="9">
        <v>101</v>
      </c>
      <c r="B102" s="14" t="s">
        <v>139</v>
      </c>
      <c r="C102" s="14" t="s">
        <v>136</v>
      </c>
      <c r="D102" s="15" t="s">
        <v>107</v>
      </c>
      <c r="E102" s="12">
        <f t="shared" si="10"/>
        <v>32.9293889755282</v>
      </c>
      <c r="F102" s="13">
        <v>33.1233466676162</v>
      </c>
      <c r="G102" s="12">
        <f t="shared" si="6"/>
        <v>0.193957692088013</v>
      </c>
    </row>
    <row r="103" spans="1:7">
      <c r="A103" s="9">
        <v>102</v>
      </c>
      <c r="B103" s="14" t="s">
        <v>139</v>
      </c>
      <c r="C103" s="14" t="s">
        <v>136</v>
      </c>
      <c r="D103" s="15" t="s">
        <v>107</v>
      </c>
      <c r="E103" s="12">
        <f t="shared" si="10"/>
        <v>32.9293889755282</v>
      </c>
      <c r="F103" s="13">
        <v>33.1233466676162</v>
      </c>
      <c r="G103" s="12">
        <f t="shared" si="6"/>
        <v>0.193957692088013</v>
      </c>
    </row>
    <row r="104" spans="1:7">
      <c r="A104" s="9">
        <v>103</v>
      </c>
      <c r="B104" s="14" t="s">
        <v>139</v>
      </c>
      <c r="C104" s="14" t="s">
        <v>136</v>
      </c>
      <c r="D104" s="15" t="s">
        <v>107</v>
      </c>
      <c r="E104" s="12">
        <f t="shared" si="10"/>
        <v>32.9293889755282</v>
      </c>
      <c r="F104" s="13">
        <v>33.1233466676162</v>
      </c>
      <c r="G104" s="12">
        <f t="shared" si="6"/>
        <v>0.193957692088013</v>
      </c>
    </row>
    <row r="105" spans="1:7">
      <c r="A105" s="9">
        <v>104</v>
      </c>
      <c r="B105" s="14" t="s">
        <v>73</v>
      </c>
      <c r="C105" s="14" t="s">
        <v>140</v>
      </c>
      <c r="D105" s="15" t="s">
        <v>80</v>
      </c>
      <c r="E105" s="12">
        <f t="shared" si="10"/>
        <v>34.9239807746149</v>
      </c>
      <c r="F105" s="13">
        <v>35.729752591315</v>
      </c>
      <c r="G105" s="12">
        <f t="shared" si="6"/>
        <v>0.805771816700094</v>
      </c>
    </row>
    <row r="106" spans="1:7">
      <c r="A106" s="9">
        <v>105</v>
      </c>
      <c r="B106" s="14" t="s">
        <v>73</v>
      </c>
      <c r="C106" s="14" t="s">
        <v>140</v>
      </c>
      <c r="D106" s="15" t="s">
        <v>107</v>
      </c>
      <c r="E106" s="12">
        <f t="shared" si="10"/>
        <v>35.2167813115971</v>
      </c>
      <c r="F106" s="13">
        <v>36.1617125955364</v>
      </c>
      <c r="G106" s="12">
        <f t="shared" si="6"/>
        <v>0.94493128393934</v>
      </c>
    </row>
    <row r="107" spans="1:7">
      <c r="A107" s="9">
        <v>106</v>
      </c>
      <c r="B107" s="14" t="s">
        <v>41</v>
      </c>
      <c r="C107" s="14" t="s">
        <v>73</v>
      </c>
      <c r="D107" s="15" t="s">
        <v>112</v>
      </c>
      <c r="E107" s="12">
        <f t="shared" si="10"/>
        <v>40.2497492643898</v>
      </c>
      <c r="F107" s="13">
        <v>42.4194576636143</v>
      </c>
      <c r="G107" s="12">
        <f t="shared" si="6"/>
        <v>2.16970839922453</v>
      </c>
    </row>
    <row r="108" spans="1:7">
      <c r="A108" s="9">
        <v>107</v>
      </c>
      <c r="B108" s="14" t="s">
        <v>137</v>
      </c>
      <c r="C108" s="14" t="s">
        <v>134</v>
      </c>
      <c r="D108" s="15" t="s">
        <v>71</v>
      </c>
      <c r="E108" s="12">
        <f t="shared" si="10"/>
        <v>35.217964704707</v>
      </c>
      <c r="F108" s="13">
        <v>35.5112233446923</v>
      </c>
      <c r="G108" s="12">
        <f t="shared" si="6"/>
        <v>0.293258639985339</v>
      </c>
    </row>
    <row r="109" spans="1:7">
      <c r="A109" s="9">
        <v>108</v>
      </c>
      <c r="B109" s="14" t="s">
        <v>141</v>
      </c>
      <c r="C109" s="14" t="s">
        <v>142</v>
      </c>
      <c r="D109" s="15" t="s">
        <v>80</v>
      </c>
      <c r="E109" s="12">
        <f t="shared" si="10"/>
        <v>36.2494211685117</v>
      </c>
      <c r="F109" s="13">
        <v>37.2033236163789</v>
      </c>
      <c r="G109" s="12">
        <f t="shared" si="6"/>
        <v>0.953902447867229</v>
      </c>
    </row>
    <row r="110" spans="1:7">
      <c r="A110" s="9">
        <v>109</v>
      </c>
      <c r="B110" s="14" t="s">
        <v>17</v>
      </c>
      <c r="C110" s="14" t="s">
        <v>140</v>
      </c>
      <c r="D110" s="15" t="s">
        <v>83</v>
      </c>
      <c r="E110" s="12">
        <f t="shared" si="10"/>
        <v>32.9231635969999</v>
      </c>
      <c r="F110" s="13">
        <v>33.1888753131833</v>
      </c>
      <c r="G110" s="12">
        <f t="shared" si="6"/>
        <v>0.265711716183432</v>
      </c>
    </row>
    <row r="111" spans="1:7">
      <c r="A111" s="9">
        <v>110</v>
      </c>
      <c r="B111" s="14" t="s">
        <v>137</v>
      </c>
      <c r="C111" s="14" t="s">
        <v>134</v>
      </c>
      <c r="D111" s="15" t="s">
        <v>71</v>
      </c>
      <c r="E111" s="12">
        <f t="shared" si="10"/>
        <v>35.217964704707</v>
      </c>
      <c r="F111" s="13">
        <v>35.5112233446923</v>
      </c>
      <c r="G111" s="12">
        <f t="shared" si="6"/>
        <v>0.293258639985339</v>
      </c>
    </row>
    <row r="112" spans="1:7">
      <c r="A112" s="9">
        <v>111</v>
      </c>
      <c r="B112" s="14" t="s">
        <v>126</v>
      </c>
      <c r="C112" s="14" t="s">
        <v>143</v>
      </c>
      <c r="D112" s="15" t="s">
        <v>83</v>
      </c>
      <c r="E112" s="12">
        <f t="shared" si="10"/>
        <v>33.7741331685291</v>
      </c>
      <c r="F112" s="13">
        <v>34.112815445006</v>
      </c>
      <c r="G112" s="12">
        <f t="shared" si="6"/>
        <v>0.338682276476909</v>
      </c>
    </row>
    <row r="113" spans="1:7">
      <c r="A113" s="9">
        <v>112</v>
      </c>
      <c r="B113" s="14" t="s">
        <v>126</v>
      </c>
      <c r="C113" s="14" t="s">
        <v>143</v>
      </c>
      <c r="D113" s="15" t="s">
        <v>83</v>
      </c>
      <c r="E113" s="12">
        <f t="shared" si="10"/>
        <v>33.7741331685291</v>
      </c>
      <c r="F113" s="13">
        <v>34.112815445006</v>
      </c>
      <c r="G113" s="12">
        <f t="shared" si="6"/>
        <v>0.338682276476909</v>
      </c>
    </row>
    <row r="114" spans="1:7">
      <c r="A114" s="9">
        <v>113</v>
      </c>
      <c r="B114" s="14" t="s">
        <v>127</v>
      </c>
      <c r="C114" s="14" t="s">
        <v>128</v>
      </c>
      <c r="D114" s="15">
        <v>3.2</v>
      </c>
      <c r="E114" s="12">
        <f t="shared" si="10"/>
        <v>48.4125172613757</v>
      </c>
      <c r="F114" s="13">
        <v>52.6143203032443</v>
      </c>
      <c r="G114" s="12">
        <f t="shared" si="6"/>
        <v>4.20180304186862</v>
      </c>
    </row>
    <row r="115" spans="1:7">
      <c r="A115" s="9">
        <v>114</v>
      </c>
      <c r="B115" s="14" t="s">
        <v>127</v>
      </c>
      <c r="C115" s="14" t="s">
        <v>128</v>
      </c>
      <c r="D115" s="15">
        <v>3.2</v>
      </c>
      <c r="E115" s="12">
        <f t="shared" ref="E115:E124" si="11">(((B115+273)^4+(110000000*D115^0.6/(0.95*0.075^0.4))*(B115-C115))^0.25)-273</f>
        <v>48.4125172613757</v>
      </c>
      <c r="F115" s="13">
        <v>52.6143203032443</v>
      </c>
      <c r="G115" s="12">
        <f t="shared" si="6"/>
        <v>4.20180304186862</v>
      </c>
    </row>
    <row r="116" spans="1:7">
      <c r="A116" s="9">
        <v>115</v>
      </c>
      <c r="B116" s="14" t="s">
        <v>86</v>
      </c>
      <c r="C116" s="14" t="s">
        <v>144</v>
      </c>
      <c r="D116" s="15" t="s">
        <v>83</v>
      </c>
      <c r="E116" s="12">
        <f t="shared" si="11"/>
        <v>35.9682554088915</v>
      </c>
      <c r="F116" s="13">
        <v>36.593623235821</v>
      </c>
      <c r="G116" s="12">
        <f t="shared" si="6"/>
        <v>0.625367826929519</v>
      </c>
    </row>
    <row r="117" spans="1:7">
      <c r="A117" s="9">
        <v>116</v>
      </c>
      <c r="B117" s="14" t="s">
        <v>142</v>
      </c>
      <c r="C117" s="14" t="s">
        <v>145</v>
      </c>
      <c r="D117" s="15" t="s">
        <v>43</v>
      </c>
      <c r="E117" s="12">
        <f t="shared" si="11"/>
        <v>31.4067001422315</v>
      </c>
      <c r="F117" s="13">
        <v>31.4754623335197</v>
      </c>
      <c r="G117" s="12">
        <f t="shared" si="6"/>
        <v>0.0687621912882008</v>
      </c>
    </row>
    <row r="118" spans="1:7">
      <c r="A118" s="9">
        <v>117</v>
      </c>
      <c r="B118" s="14" t="s">
        <v>139</v>
      </c>
      <c r="C118" s="14" t="s">
        <v>144</v>
      </c>
      <c r="D118" s="15" t="s">
        <v>83</v>
      </c>
      <c r="E118" s="12">
        <f t="shared" si="11"/>
        <v>36.2874055094514</v>
      </c>
      <c r="F118" s="13">
        <v>36.9474082717456</v>
      </c>
      <c r="G118" s="12">
        <f t="shared" si="6"/>
        <v>0.660002762294212</v>
      </c>
    </row>
    <row r="119" spans="1:7">
      <c r="A119" s="9">
        <v>118</v>
      </c>
      <c r="B119" s="14" t="s">
        <v>142</v>
      </c>
      <c r="C119" s="14" t="s">
        <v>135</v>
      </c>
      <c r="D119" s="15" t="s">
        <v>43</v>
      </c>
      <c r="E119" s="12">
        <f t="shared" si="11"/>
        <v>31.4067001422315</v>
      </c>
      <c r="F119" s="13">
        <v>31.4754623335197</v>
      </c>
      <c r="G119" s="12">
        <f t="shared" si="6"/>
        <v>0.0687621912882008</v>
      </c>
    </row>
    <row r="120" spans="1:7">
      <c r="A120" s="9">
        <v>119</v>
      </c>
      <c r="B120" s="14" t="s">
        <v>142</v>
      </c>
      <c r="C120" s="14" t="s">
        <v>135</v>
      </c>
      <c r="D120" s="15" t="s">
        <v>43</v>
      </c>
      <c r="E120" s="12">
        <f t="shared" si="11"/>
        <v>31.4067001422315</v>
      </c>
      <c r="F120" s="13">
        <v>31.4754623335197</v>
      </c>
      <c r="G120" s="12">
        <f t="shared" si="6"/>
        <v>0.0687621912882008</v>
      </c>
    </row>
    <row r="121" spans="1:7">
      <c r="A121" s="9">
        <v>120</v>
      </c>
      <c r="B121" s="14" t="s">
        <v>139</v>
      </c>
      <c r="C121" s="14" t="s">
        <v>144</v>
      </c>
      <c r="D121" s="15" t="s">
        <v>83</v>
      </c>
      <c r="E121" s="12">
        <f t="shared" si="11"/>
        <v>36.2874055094514</v>
      </c>
      <c r="F121" s="13">
        <v>36.9474082717456</v>
      </c>
      <c r="G121" s="12">
        <f t="shared" si="6"/>
        <v>0.660002762294212</v>
      </c>
    </row>
    <row r="122" spans="1:7">
      <c r="A122" s="9">
        <v>121</v>
      </c>
      <c r="B122" s="14" t="s">
        <v>139</v>
      </c>
      <c r="C122" s="14" t="s">
        <v>144</v>
      </c>
      <c r="D122" s="15" t="s">
        <v>83</v>
      </c>
      <c r="E122" s="12">
        <f t="shared" si="11"/>
        <v>36.2874055094514</v>
      </c>
      <c r="F122" s="13">
        <v>36.9474082717456</v>
      </c>
      <c r="G122" s="12">
        <f t="shared" si="6"/>
        <v>0.660002762294212</v>
      </c>
    </row>
    <row r="123" spans="1:7">
      <c r="A123" s="9">
        <v>122</v>
      </c>
      <c r="B123" s="14" t="s">
        <v>127</v>
      </c>
      <c r="C123" s="14" t="s">
        <v>128</v>
      </c>
      <c r="D123" s="15" t="s">
        <v>146</v>
      </c>
      <c r="E123" s="12">
        <f t="shared" si="11"/>
        <v>41.8376419190182</v>
      </c>
      <c r="F123" s="13">
        <v>42.8086965369466</v>
      </c>
      <c r="G123" s="12">
        <f t="shared" si="6"/>
        <v>0.971054617928388</v>
      </c>
    </row>
    <row r="124" spans="1:7">
      <c r="A124" s="9">
        <v>123</v>
      </c>
      <c r="B124" s="14" t="s">
        <v>127</v>
      </c>
      <c r="C124" s="14" t="s">
        <v>128</v>
      </c>
      <c r="D124" s="15" t="s">
        <v>74</v>
      </c>
      <c r="E124" s="12">
        <f t="shared" si="11"/>
        <v>41.7982897790606</v>
      </c>
      <c r="F124" s="13">
        <v>42.7540954579495</v>
      </c>
      <c r="G124" s="12">
        <f t="shared" si="6"/>
        <v>0.955805678888943</v>
      </c>
    </row>
    <row r="125" spans="1:7">
      <c r="A125" s="9">
        <v>124</v>
      </c>
      <c r="B125" s="14" t="s">
        <v>142</v>
      </c>
      <c r="C125" s="14" t="s">
        <v>135</v>
      </c>
      <c r="D125" s="15" t="s">
        <v>43</v>
      </c>
      <c r="E125" s="12">
        <f t="shared" ref="E125:E135" si="12">(((B125+273)^4+(110000000*D125^0.6/(0.95*0.075^0.4))*(B125-C125))^0.25)-273</f>
        <v>31.4067001422315</v>
      </c>
      <c r="F125" s="13">
        <v>31.4754623335197</v>
      </c>
      <c r="G125" s="12">
        <f t="shared" si="6"/>
        <v>0.0687621912882008</v>
      </c>
    </row>
    <row r="126" spans="1:7">
      <c r="A126" s="9">
        <v>125</v>
      </c>
      <c r="B126" s="14" t="s">
        <v>92</v>
      </c>
      <c r="C126" s="14" t="s">
        <v>147</v>
      </c>
      <c r="D126" s="15" t="s">
        <v>80</v>
      </c>
      <c r="E126" s="12">
        <f t="shared" si="12"/>
        <v>33.5471874807478</v>
      </c>
      <c r="F126" s="13">
        <v>34.1194908924207</v>
      </c>
      <c r="G126" s="12">
        <f t="shared" si="6"/>
        <v>0.572303411672877</v>
      </c>
    </row>
    <row r="127" spans="1:7">
      <c r="A127" s="9">
        <v>126</v>
      </c>
      <c r="B127" s="14" t="s">
        <v>92</v>
      </c>
      <c r="C127" s="14" t="s">
        <v>143</v>
      </c>
      <c r="D127" s="15" t="s">
        <v>80</v>
      </c>
      <c r="E127" s="12">
        <f t="shared" si="12"/>
        <v>32.5478686677091</v>
      </c>
      <c r="F127" s="13">
        <v>32.878502336718</v>
      </c>
      <c r="G127" s="12">
        <f t="shared" si="6"/>
        <v>0.330633669008947</v>
      </c>
    </row>
    <row r="128" spans="1:7">
      <c r="A128" s="9">
        <v>127</v>
      </c>
      <c r="B128" s="14" t="s">
        <v>127</v>
      </c>
      <c r="C128" s="14" t="s">
        <v>128</v>
      </c>
      <c r="D128" s="15">
        <v>3.5</v>
      </c>
      <c r="E128" s="12">
        <f t="shared" si="12"/>
        <v>49.0379671328</v>
      </c>
      <c r="F128" s="13">
        <v>53.5980926314117</v>
      </c>
      <c r="G128" s="12">
        <f t="shared" si="6"/>
        <v>4.56012549861168</v>
      </c>
    </row>
    <row r="129" spans="1:7">
      <c r="A129" s="9">
        <v>128</v>
      </c>
      <c r="B129" s="14" t="s">
        <v>127</v>
      </c>
      <c r="C129" s="14" t="s">
        <v>128</v>
      </c>
      <c r="D129" s="15" t="s">
        <v>146</v>
      </c>
      <c r="E129" s="12">
        <f t="shared" si="12"/>
        <v>41.8376419190182</v>
      </c>
      <c r="F129" s="13">
        <v>42.8086965369466</v>
      </c>
      <c r="G129" s="12">
        <f t="shared" si="6"/>
        <v>0.971054617928388</v>
      </c>
    </row>
    <row r="130" spans="1:7">
      <c r="A130" s="9">
        <v>129</v>
      </c>
      <c r="B130" s="14" t="s">
        <v>127</v>
      </c>
      <c r="C130" s="14" t="s">
        <v>128</v>
      </c>
      <c r="D130" s="15" t="s">
        <v>74</v>
      </c>
      <c r="E130" s="12">
        <f t="shared" si="12"/>
        <v>41.7982897790606</v>
      </c>
      <c r="F130" s="13">
        <v>42.7540954579495</v>
      </c>
      <c r="G130" s="12">
        <f t="shared" ref="G130:G193" si="13">F130-E130</f>
        <v>0.955805678888943</v>
      </c>
    </row>
    <row r="131" spans="1:7">
      <c r="A131" s="9">
        <v>130</v>
      </c>
      <c r="B131" s="14" t="s">
        <v>92</v>
      </c>
      <c r="C131" s="14" t="s">
        <v>143</v>
      </c>
      <c r="D131" s="15" t="s">
        <v>80</v>
      </c>
      <c r="E131" s="12">
        <f t="shared" si="12"/>
        <v>32.5478686677091</v>
      </c>
      <c r="F131" s="13">
        <v>32.878502336718</v>
      </c>
      <c r="G131" s="12">
        <f t="shared" si="13"/>
        <v>0.330633669008947</v>
      </c>
    </row>
    <row r="132" spans="1:7">
      <c r="A132" s="9">
        <v>131</v>
      </c>
      <c r="B132" s="14" t="s">
        <v>92</v>
      </c>
      <c r="C132" s="14" t="s">
        <v>133</v>
      </c>
      <c r="D132" s="15" t="s">
        <v>148</v>
      </c>
      <c r="E132" s="12">
        <f t="shared" si="12"/>
        <v>31.8442385703331</v>
      </c>
      <c r="F132" s="13">
        <v>31.9390555839827</v>
      </c>
      <c r="G132" s="12">
        <f t="shared" si="13"/>
        <v>0.0948170136495818</v>
      </c>
    </row>
    <row r="133" spans="1:7">
      <c r="A133" s="9">
        <v>132</v>
      </c>
      <c r="B133" s="14" t="s">
        <v>127</v>
      </c>
      <c r="C133" s="14" t="s">
        <v>128</v>
      </c>
      <c r="D133" s="15">
        <v>3.5</v>
      </c>
      <c r="E133" s="12">
        <f t="shared" si="12"/>
        <v>49.0379671328</v>
      </c>
      <c r="F133" s="13">
        <v>53.5980926314117</v>
      </c>
      <c r="G133" s="12">
        <f t="shared" si="13"/>
        <v>4.56012549861168</v>
      </c>
    </row>
    <row r="134" spans="1:7">
      <c r="A134" s="9">
        <v>133</v>
      </c>
      <c r="B134" s="14" t="s">
        <v>127</v>
      </c>
      <c r="C134" s="14" t="s">
        <v>128</v>
      </c>
      <c r="D134" s="15">
        <v>3.5</v>
      </c>
      <c r="E134" s="12">
        <f t="shared" si="12"/>
        <v>49.0379671328</v>
      </c>
      <c r="F134" s="13">
        <v>53.5980926314117</v>
      </c>
      <c r="G134" s="12">
        <f t="shared" si="13"/>
        <v>4.56012549861168</v>
      </c>
    </row>
    <row r="135" spans="1:7">
      <c r="A135" s="9">
        <v>134</v>
      </c>
      <c r="B135" s="14" t="s">
        <v>127</v>
      </c>
      <c r="C135" s="14" t="s">
        <v>128</v>
      </c>
      <c r="D135" s="15" t="s">
        <v>74</v>
      </c>
      <c r="E135" s="12">
        <f t="shared" si="12"/>
        <v>41.7982897790606</v>
      </c>
      <c r="F135" s="13">
        <v>42.7540954579495</v>
      </c>
      <c r="G135" s="12">
        <f t="shared" si="13"/>
        <v>0.955805678888943</v>
      </c>
    </row>
    <row r="136" spans="1:7">
      <c r="A136" s="9">
        <v>135</v>
      </c>
      <c r="B136" s="14" t="s">
        <v>92</v>
      </c>
      <c r="C136" s="14" t="s">
        <v>143</v>
      </c>
      <c r="D136" s="15" t="s">
        <v>80</v>
      </c>
      <c r="E136" s="12">
        <f t="shared" ref="E136:E145" si="14">(((B136+273)^4+(110000000*D136^0.6/(0.95*0.075^0.4))*(B136-C136))^0.25)-273</f>
        <v>32.5478686677091</v>
      </c>
      <c r="F136" s="13">
        <v>32.878502336718</v>
      </c>
      <c r="G136" s="12">
        <f t="shared" si="13"/>
        <v>0.330633669008947</v>
      </c>
    </row>
    <row r="137" spans="1:7">
      <c r="A137" s="9">
        <v>136</v>
      </c>
      <c r="B137" s="14" t="s">
        <v>92</v>
      </c>
      <c r="C137" s="14" t="s">
        <v>143</v>
      </c>
      <c r="D137" s="15" t="s">
        <v>80</v>
      </c>
      <c r="E137" s="12">
        <f t="shared" si="14"/>
        <v>32.5478686677091</v>
      </c>
      <c r="F137" s="13">
        <v>32.878502336718</v>
      </c>
      <c r="G137" s="12">
        <f t="shared" si="13"/>
        <v>0.330633669008947</v>
      </c>
    </row>
    <row r="138" spans="1:7">
      <c r="A138" s="9">
        <v>137</v>
      </c>
      <c r="B138" s="14" t="s">
        <v>127</v>
      </c>
      <c r="C138" s="14" t="s">
        <v>128</v>
      </c>
      <c r="D138" s="15" t="s">
        <v>74</v>
      </c>
      <c r="E138" s="12">
        <f t="shared" si="14"/>
        <v>41.7982897790606</v>
      </c>
      <c r="F138" s="13">
        <v>42.7540954579495</v>
      </c>
      <c r="G138" s="12">
        <f t="shared" si="13"/>
        <v>0.955805678888943</v>
      </c>
    </row>
    <row r="139" spans="1:7">
      <c r="A139" s="9">
        <v>138</v>
      </c>
      <c r="B139" s="14" t="s">
        <v>149</v>
      </c>
      <c r="C139" s="14" t="s">
        <v>95</v>
      </c>
      <c r="D139" s="15" t="s">
        <v>66</v>
      </c>
      <c r="E139" s="12">
        <f t="shared" si="14"/>
        <v>30.3038950859271</v>
      </c>
      <c r="F139" s="13">
        <v>30.5209015537129</v>
      </c>
      <c r="G139" s="12">
        <f t="shared" si="13"/>
        <v>0.217006467785762</v>
      </c>
    </row>
    <row r="140" spans="1:7">
      <c r="A140" s="9">
        <v>139</v>
      </c>
      <c r="B140" s="14" t="s">
        <v>92</v>
      </c>
      <c r="C140" s="14" t="s">
        <v>143</v>
      </c>
      <c r="D140" s="15" t="s">
        <v>80</v>
      </c>
      <c r="E140" s="12">
        <f t="shared" si="14"/>
        <v>32.5478686677091</v>
      </c>
      <c r="F140" s="13">
        <v>32.878502336718</v>
      </c>
      <c r="G140" s="12">
        <f t="shared" si="13"/>
        <v>0.330633669008947</v>
      </c>
    </row>
    <row r="141" spans="1:7">
      <c r="A141" s="9">
        <v>140</v>
      </c>
      <c r="B141" s="14" t="s">
        <v>92</v>
      </c>
      <c r="C141" s="14" t="s">
        <v>143</v>
      </c>
      <c r="D141" s="15" t="s">
        <v>80</v>
      </c>
      <c r="E141" s="12">
        <f t="shared" si="14"/>
        <v>32.5478686677091</v>
      </c>
      <c r="F141" s="13">
        <v>32.878502336718</v>
      </c>
      <c r="G141" s="12">
        <f t="shared" si="13"/>
        <v>0.330633669008947</v>
      </c>
    </row>
    <row r="142" spans="1:7">
      <c r="A142" s="9">
        <v>141</v>
      </c>
      <c r="B142" s="14" t="s">
        <v>90</v>
      </c>
      <c r="C142" s="14" t="s">
        <v>90</v>
      </c>
      <c r="D142" s="15" t="s">
        <v>66</v>
      </c>
      <c r="E142" s="12">
        <f t="shared" si="14"/>
        <v>29.7</v>
      </c>
      <c r="F142" s="13">
        <v>29.7</v>
      </c>
      <c r="G142" s="12">
        <f t="shared" si="13"/>
        <v>0</v>
      </c>
    </row>
    <row r="143" spans="1:7">
      <c r="A143" s="9">
        <v>142</v>
      </c>
      <c r="B143" s="14" t="s">
        <v>127</v>
      </c>
      <c r="C143" s="14" t="s">
        <v>128</v>
      </c>
      <c r="D143" s="15" t="s">
        <v>74</v>
      </c>
      <c r="E143" s="12">
        <f t="shared" si="14"/>
        <v>41.7982897790606</v>
      </c>
      <c r="F143" s="13">
        <v>42.7540954579495</v>
      </c>
      <c r="G143" s="12">
        <f t="shared" si="13"/>
        <v>0.955805678888943</v>
      </c>
    </row>
    <row r="144" spans="1:7">
      <c r="A144" s="9">
        <v>143</v>
      </c>
      <c r="B144" s="14" t="s">
        <v>127</v>
      </c>
      <c r="C144" s="14" t="s">
        <v>128</v>
      </c>
      <c r="D144" s="15" t="s">
        <v>74</v>
      </c>
      <c r="E144" s="12">
        <f t="shared" si="14"/>
        <v>41.7982897790606</v>
      </c>
      <c r="F144" s="13">
        <v>42.7540954579495</v>
      </c>
      <c r="G144" s="12">
        <f t="shared" si="13"/>
        <v>0.955805678888943</v>
      </c>
    </row>
    <row r="145" spans="1:7">
      <c r="A145" s="9">
        <v>144</v>
      </c>
      <c r="B145" s="14" t="s">
        <v>127</v>
      </c>
      <c r="C145" s="14" t="s">
        <v>128</v>
      </c>
      <c r="D145" s="15" t="s">
        <v>74</v>
      </c>
      <c r="E145" s="12">
        <f t="shared" si="14"/>
        <v>41.7982897790606</v>
      </c>
      <c r="F145" s="13">
        <v>42.7540954579495</v>
      </c>
      <c r="G145" s="12">
        <f t="shared" si="13"/>
        <v>0.955805678888943</v>
      </c>
    </row>
    <row r="146" spans="1:7">
      <c r="A146" s="9">
        <v>145</v>
      </c>
      <c r="B146" s="14" t="s">
        <v>92</v>
      </c>
      <c r="C146" s="14" t="s">
        <v>143</v>
      </c>
      <c r="D146" s="15" t="s">
        <v>80</v>
      </c>
      <c r="E146" s="12">
        <f t="shared" ref="E146:E155" si="15">(((B146+273)^4+(110000000*D146^0.6/(0.95*0.075^0.4))*(B146-C146))^0.25)-273</f>
        <v>32.5478686677091</v>
      </c>
      <c r="F146" s="13">
        <v>32.878502336718</v>
      </c>
      <c r="G146" s="12">
        <f t="shared" si="13"/>
        <v>0.330633669008947</v>
      </c>
    </row>
    <row r="147" spans="1:7">
      <c r="A147" s="9">
        <v>146</v>
      </c>
      <c r="B147" s="14" t="s">
        <v>150</v>
      </c>
      <c r="C147" s="14" t="s">
        <v>67</v>
      </c>
      <c r="D147" s="15" t="s">
        <v>151</v>
      </c>
      <c r="E147" s="12">
        <f t="shared" si="15"/>
        <v>32.4050749742351</v>
      </c>
      <c r="F147" s="13">
        <v>33.0099703440791</v>
      </c>
      <c r="G147" s="12">
        <f t="shared" si="13"/>
        <v>0.604895369843995</v>
      </c>
    </row>
    <row r="148" spans="1:7">
      <c r="A148" s="9">
        <v>147</v>
      </c>
      <c r="B148" s="14" t="s">
        <v>99</v>
      </c>
      <c r="C148" s="14" t="s">
        <v>152</v>
      </c>
      <c r="D148" s="15" t="s">
        <v>94</v>
      </c>
      <c r="E148" s="12">
        <f t="shared" si="15"/>
        <v>28.6712853363952</v>
      </c>
      <c r="F148" s="13">
        <v>29.8276030065336</v>
      </c>
      <c r="G148" s="12">
        <f t="shared" si="13"/>
        <v>1.15631767013839</v>
      </c>
    </row>
    <row r="149" spans="1:7">
      <c r="A149" s="9">
        <v>148</v>
      </c>
      <c r="B149" s="14" t="s">
        <v>153</v>
      </c>
      <c r="C149" s="14" t="s">
        <v>154</v>
      </c>
      <c r="D149" s="15" t="s">
        <v>28</v>
      </c>
      <c r="E149" s="12">
        <f t="shared" si="15"/>
        <v>44.398295870522</v>
      </c>
      <c r="F149" s="13">
        <v>47.9063853082794</v>
      </c>
      <c r="G149" s="12">
        <f t="shared" si="13"/>
        <v>3.50808943775738</v>
      </c>
    </row>
    <row r="150" spans="1:7">
      <c r="A150" s="9">
        <v>149</v>
      </c>
      <c r="B150" s="14" t="s">
        <v>102</v>
      </c>
      <c r="C150" s="14" t="s">
        <v>152</v>
      </c>
      <c r="D150" s="15" t="s">
        <v>94</v>
      </c>
      <c r="E150" s="12">
        <f t="shared" si="15"/>
        <v>38.3083187156197</v>
      </c>
      <c r="F150" s="13">
        <v>41.4362023042279</v>
      </c>
      <c r="G150" s="12">
        <f t="shared" si="13"/>
        <v>3.12788358860815</v>
      </c>
    </row>
    <row r="151" spans="1:7">
      <c r="A151" s="9">
        <v>150</v>
      </c>
      <c r="B151" s="14" t="s">
        <v>86</v>
      </c>
      <c r="C151" s="14" t="s">
        <v>27</v>
      </c>
      <c r="D151" s="15" t="s">
        <v>80</v>
      </c>
      <c r="E151" s="12">
        <f t="shared" si="15"/>
        <v>60.497075502391</v>
      </c>
      <c r="F151" s="13">
        <v>66.5112254857534</v>
      </c>
      <c r="G151" s="12">
        <f t="shared" si="13"/>
        <v>6.0141499833624</v>
      </c>
    </row>
    <row r="152" spans="1:7">
      <c r="A152" s="9">
        <v>151</v>
      </c>
      <c r="B152" s="14" t="s">
        <v>86</v>
      </c>
      <c r="C152" s="14" t="s">
        <v>27</v>
      </c>
      <c r="D152" s="15" t="s">
        <v>80</v>
      </c>
      <c r="E152" s="12">
        <f t="shared" si="15"/>
        <v>60.497075502391</v>
      </c>
      <c r="F152" s="13">
        <v>66.5112254857534</v>
      </c>
      <c r="G152" s="12">
        <f t="shared" si="13"/>
        <v>6.0141499833624</v>
      </c>
    </row>
    <row r="153" spans="1:7">
      <c r="A153" s="9">
        <v>152</v>
      </c>
      <c r="B153" s="14" t="s">
        <v>153</v>
      </c>
      <c r="C153" s="14" t="s">
        <v>154</v>
      </c>
      <c r="D153" s="15" t="s">
        <v>28</v>
      </c>
      <c r="E153" s="12">
        <f t="shared" si="15"/>
        <v>44.398295870522</v>
      </c>
      <c r="F153" s="13">
        <v>47.9063853082794</v>
      </c>
      <c r="G153" s="12">
        <f t="shared" si="13"/>
        <v>3.50808943775738</v>
      </c>
    </row>
    <row r="154" spans="1:7">
      <c r="A154" s="9">
        <v>153</v>
      </c>
      <c r="B154" s="14" t="s">
        <v>102</v>
      </c>
      <c r="C154" s="14" t="s">
        <v>152</v>
      </c>
      <c r="D154" s="15" t="s">
        <v>94</v>
      </c>
      <c r="E154" s="12">
        <f t="shared" si="15"/>
        <v>38.3083187156197</v>
      </c>
      <c r="F154" s="13">
        <v>41.4362023042279</v>
      </c>
      <c r="G154" s="12">
        <f t="shared" si="13"/>
        <v>3.12788358860815</v>
      </c>
    </row>
    <row r="155" spans="1:7">
      <c r="A155" s="9">
        <v>154</v>
      </c>
      <c r="B155" s="14" t="s">
        <v>50</v>
      </c>
      <c r="C155" s="14" t="s">
        <v>8</v>
      </c>
      <c r="D155" s="15" t="s">
        <v>74</v>
      </c>
      <c r="E155" s="12">
        <f t="shared" si="15"/>
        <v>31.5982182373962</v>
      </c>
      <c r="F155" s="13">
        <v>32.2411442607372</v>
      </c>
      <c r="G155" s="12">
        <f t="shared" si="13"/>
        <v>0.642926023340976</v>
      </c>
    </row>
    <row r="156" spans="1:7">
      <c r="A156" s="9">
        <v>155</v>
      </c>
      <c r="B156" s="14" t="s">
        <v>155</v>
      </c>
      <c r="C156" s="14" t="s">
        <v>36</v>
      </c>
      <c r="D156" s="15" t="s">
        <v>66</v>
      </c>
      <c r="E156" s="12">
        <f t="shared" ref="E156:E167" si="16">(((B156+273)^4+(110000000*D156^0.6/(0.95*0.075^0.4))*(B156-C156))^0.25)-273</f>
        <v>34.8301720203455</v>
      </c>
      <c r="F156" s="13">
        <v>36.2746341916194</v>
      </c>
      <c r="G156" s="12">
        <f t="shared" si="13"/>
        <v>1.44446217127388</v>
      </c>
    </row>
    <row r="157" spans="1:7">
      <c r="A157" s="9">
        <v>156</v>
      </c>
      <c r="B157" s="14" t="s">
        <v>153</v>
      </c>
      <c r="C157" s="14" t="s">
        <v>154</v>
      </c>
      <c r="D157" s="15" t="s">
        <v>28</v>
      </c>
      <c r="E157" s="12">
        <f t="shared" si="16"/>
        <v>44.398295870522</v>
      </c>
      <c r="F157" s="13">
        <v>47.9063853082794</v>
      </c>
      <c r="G157" s="12">
        <f t="shared" si="13"/>
        <v>3.50808943775738</v>
      </c>
    </row>
    <row r="158" spans="1:7">
      <c r="A158" s="9">
        <v>157</v>
      </c>
      <c r="B158" s="14" t="s">
        <v>102</v>
      </c>
      <c r="C158" s="14" t="s">
        <v>152</v>
      </c>
      <c r="D158" s="15" t="s">
        <v>94</v>
      </c>
      <c r="E158" s="12">
        <f t="shared" si="16"/>
        <v>38.3083187156197</v>
      </c>
      <c r="F158" s="13">
        <v>41.4362023042279</v>
      </c>
      <c r="G158" s="12">
        <f t="shared" si="13"/>
        <v>3.12788358860815</v>
      </c>
    </row>
    <row r="159" spans="1:7">
      <c r="A159" s="9">
        <v>158</v>
      </c>
      <c r="B159" s="14" t="s">
        <v>155</v>
      </c>
      <c r="C159" s="14" t="s">
        <v>36</v>
      </c>
      <c r="D159" s="15" t="s">
        <v>66</v>
      </c>
      <c r="E159" s="12">
        <f t="shared" si="16"/>
        <v>34.8301720203455</v>
      </c>
      <c r="F159" s="13">
        <v>36.2746341916194</v>
      </c>
      <c r="G159" s="12">
        <f t="shared" si="13"/>
        <v>1.44446217127388</v>
      </c>
    </row>
    <row r="160" spans="1:7">
      <c r="A160" s="9">
        <v>159</v>
      </c>
      <c r="B160" s="14" t="s">
        <v>50</v>
      </c>
      <c r="C160" s="14" t="s">
        <v>8</v>
      </c>
      <c r="D160" s="15" t="s">
        <v>74</v>
      </c>
      <c r="E160" s="12">
        <f t="shared" si="16"/>
        <v>31.5982182373962</v>
      </c>
      <c r="F160" s="13">
        <v>32.2411442607372</v>
      </c>
      <c r="G160" s="12">
        <f t="shared" si="13"/>
        <v>0.642926023340976</v>
      </c>
    </row>
    <row r="161" spans="1:7">
      <c r="A161" s="9">
        <v>160</v>
      </c>
      <c r="B161" s="14" t="s">
        <v>50</v>
      </c>
      <c r="C161" s="14" t="s">
        <v>8</v>
      </c>
      <c r="D161" s="15" t="s">
        <v>74</v>
      </c>
      <c r="E161" s="12">
        <f t="shared" si="16"/>
        <v>31.5982182373962</v>
      </c>
      <c r="F161" s="13">
        <v>32.2411442607372</v>
      </c>
      <c r="G161" s="12">
        <f t="shared" si="13"/>
        <v>0.642926023340976</v>
      </c>
    </row>
    <row r="162" spans="1:7">
      <c r="A162" s="9">
        <v>161</v>
      </c>
      <c r="B162" s="14" t="s">
        <v>50</v>
      </c>
      <c r="C162" s="14" t="s">
        <v>8</v>
      </c>
      <c r="D162" s="15" t="s">
        <v>74</v>
      </c>
      <c r="E162" s="12">
        <f t="shared" si="16"/>
        <v>31.5982182373962</v>
      </c>
      <c r="F162" s="13">
        <v>32.2411442607372</v>
      </c>
      <c r="G162" s="12">
        <f t="shared" si="13"/>
        <v>0.642926023340976</v>
      </c>
    </row>
    <row r="163" spans="1:7">
      <c r="A163" s="9">
        <v>162</v>
      </c>
      <c r="B163" s="14" t="s">
        <v>156</v>
      </c>
      <c r="C163" s="14" t="s">
        <v>115</v>
      </c>
      <c r="D163" s="15" t="s">
        <v>28</v>
      </c>
      <c r="E163" s="12">
        <f t="shared" si="16"/>
        <v>52.2471191592966</v>
      </c>
      <c r="F163" s="13">
        <v>56.539879151128</v>
      </c>
      <c r="G163" s="12">
        <f t="shared" si="13"/>
        <v>4.29275999183137</v>
      </c>
    </row>
    <row r="164" spans="1:7">
      <c r="A164" s="9">
        <v>163</v>
      </c>
      <c r="B164" s="14" t="s">
        <v>156</v>
      </c>
      <c r="C164" s="14" t="s">
        <v>65</v>
      </c>
      <c r="D164" s="15" t="s">
        <v>28</v>
      </c>
      <c r="E164" s="12">
        <f t="shared" si="16"/>
        <v>51.9822792426533</v>
      </c>
      <c r="F164" s="13">
        <v>56.2249612811933</v>
      </c>
      <c r="G164" s="12">
        <f t="shared" si="13"/>
        <v>4.24268203854</v>
      </c>
    </row>
    <row r="165" spans="1:7">
      <c r="A165" s="9">
        <v>164</v>
      </c>
      <c r="B165" s="14" t="s">
        <v>85</v>
      </c>
      <c r="C165" s="14" t="s">
        <v>152</v>
      </c>
      <c r="D165" s="15" t="s">
        <v>74</v>
      </c>
      <c r="E165" s="12">
        <f t="shared" si="16"/>
        <v>36.1839617654168</v>
      </c>
      <c r="F165" s="13">
        <v>37.757796431342</v>
      </c>
      <c r="G165" s="12">
        <f t="shared" si="13"/>
        <v>1.57383466592523</v>
      </c>
    </row>
    <row r="166" spans="1:7">
      <c r="A166" s="9">
        <v>165</v>
      </c>
      <c r="B166" s="14" t="s">
        <v>50</v>
      </c>
      <c r="C166" s="14" t="s">
        <v>8</v>
      </c>
      <c r="D166" s="15" t="s">
        <v>157</v>
      </c>
      <c r="E166" s="12">
        <f t="shared" si="16"/>
        <v>31.4638611220736</v>
      </c>
      <c r="F166" s="13">
        <v>32.0549406292176</v>
      </c>
      <c r="G166" s="12">
        <f t="shared" si="13"/>
        <v>0.591079507143959</v>
      </c>
    </row>
    <row r="167" spans="1:7">
      <c r="A167" s="9">
        <v>166</v>
      </c>
      <c r="B167" s="14" t="s">
        <v>50</v>
      </c>
      <c r="C167" s="14" t="s">
        <v>8</v>
      </c>
      <c r="D167" s="15" t="s">
        <v>157</v>
      </c>
      <c r="E167" s="12">
        <f t="shared" si="16"/>
        <v>31.4638611220736</v>
      </c>
      <c r="F167" s="13">
        <v>32.0549406292176</v>
      </c>
      <c r="G167" s="12">
        <f t="shared" si="13"/>
        <v>0.591079507143959</v>
      </c>
    </row>
    <row r="168" spans="1:7">
      <c r="A168" s="9">
        <v>167</v>
      </c>
      <c r="B168" s="14" t="s">
        <v>85</v>
      </c>
      <c r="C168" s="14" t="s">
        <v>152</v>
      </c>
      <c r="D168" s="15" t="s">
        <v>74</v>
      </c>
      <c r="E168" s="12">
        <f t="shared" ref="E168:E178" si="17">(((B168+273)^4+(110000000*D168^0.6/(0.95*0.075^0.4))*(B168-C168))^0.25)-273</f>
        <v>36.1839617654168</v>
      </c>
      <c r="F168" s="13">
        <v>37.757796431342</v>
      </c>
      <c r="G168" s="12">
        <f t="shared" si="13"/>
        <v>1.57383466592523</v>
      </c>
    </row>
    <row r="169" spans="1:7">
      <c r="A169" s="9">
        <v>168</v>
      </c>
      <c r="B169" s="14" t="s">
        <v>156</v>
      </c>
      <c r="C169" s="14" t="s">
        <v>115</v>
      </c>
      <c r="D169" s="15" t="s">
        <v>28</v>
      </c>
      <c r="E169" s="12">
        <f t="shared" si="17"/>
        <v>52.2471191592966</v>
      </c>
      <c r="F169" s="13">
        <v>56.539879151128</v>
      </c>
      <c r="G169" s="12">
        <f t="shared" si="13"/>
        <v>4.29275999183137</v>
      </c>
    </row>
    <row r="170" spans="1:7">
      <c r="A170" s="9">
        <v>169</v>
      </c>
      <c r="B170" s="14" t="s">
        <v>158</v>
      </c>
      <c r="C170" s="14" t="s">
        <v>82</v>
      </c>
      <c r="D170" s="15" t="s">
        <v>74</v>
      </c>
      <c r="E170" s="12">
        <f t="shared" si="17"/>
        <v>60.225886842562</v>
      </c>
      <c r="F170" s="13">
        <v>63.9649463271193</v>
      </c>
      <c r="G170" s="12">
        <f t="shared" si="13"/>
        <v>3.73905948455732</v>
      </c>
    </row>
    <row r="171" spans="1:7">
      <c r="A171" s="9">
        <v>170</v>
      </c>
      <c r="B171" s="14" t="s">
        <v>63</v>
      </c>
      <c r="C171" s="14" t="s">
        <v>59</v>
      </c>
      <c r="D171" s="15" t="s">
        <v>159</v>
      </c>
      <c r="E171" s="12">
        <f t="shared" si="17"/>
        <v>27.6630202779839</v>
      </c>
      <c r="F171" s="13">
        <v>27.9732438851934</v>
      </c>
      <c r="G171" s="12">
        <f t="shared" si="13"/>
        <v>0.310223607209512</v>
      </c>
    </row>
    <row r="172" spans="1:7">
      <c r="A172" s="9">
        <v>171</v>
      </c>
      <c r="B172" s="14" t="s">
        <v>63</v>
      </c>
      <c r="C172" s="14" t="s">
        <v>160</v>
      </c>
      <c r="D172" s="15" t="s">
        <v>159</v>
      </c>
      <c r="E172" s="12">
        <f t="shared" si="17"/>
        <v>27.6630202779839</v>
      </c>
      <c r="F172" s="13">
        <v>27.9732438851934</v>
      </c>
      <c r="G172" s="12">
        <f t="shared" si="13"/>
        <v>0.310223607209512</v>
      </c>
    </row>
    <row r="173" spans="1:7">
      <c r="A173" s="9">
        <v>172</v>
      </c>
      <c r="B173" s="14" t="s">
        <v>129</v>
      </c>
      <c r="C173" s="14" t="s">
        <v>104</v>
      </c>
      <c r="D173" s="15">
        <v>1.5</v>
      </c>
      <c r="E173" s="12">
        <f t="shared" si="17"/>
        <v>58.7522487376965</v>
      </c>
      <c r="F173" s="13">
        <v>64.611072354002</v>
      </c>
      <c r="G173" s="12">
        <f t="shared" si="13"/>
        <v>5.8588236163055</v>
      </c>
    </row>
    <row r="174" spans="1:7">
      <c r="A174" s="9">
        <v>173</v>
      </c>
      <c r="B174" s="14" t="s">
        <v>93</v>
      </c>
      <c r="C174" s="14" t="s">
        <v>160</v>
      </c>
      <c r="D174" s="15" t="s">
        <v>107</v>
      </c>
      <c r="E174" s="12">
        <f t="shared" si="17"/>
        <v>43.0569328145231</v>
      </c>
      <c r="F174" s="13">
        <v>46.6916526896972</v>
      </c>
      <c r="G174" s="12">
        <f t="shared" si="13"/>
        <v>3.63471987517413</v>
      </c>
    </row>
    <row r="175" spans="1:7">
      <c r="A175" s="9">
        <v>174</v>
      </c>
      <c r="B175" s="14" t="s">
        <v>125</v>
      </c>
      <c r="C175" s="14" t="s">
        <v>29</v>
      </c>
      <c r="D175" s="15" t="s">
        <v>159</v>
      </c>
      <c r="E175" s="12">
        <f t="shared" si="17"/>
        <v>49.4348548928332</v>
      </c>
      <c r="F175" s="13">
        <v>50.9576526423053</v>
      </c>
      <c r="G175" s="12">
        <f t="shared" si="13"/>
        <v>1.52279774947211</v>
      </c>
    </row>
    <row r="176" spans="1:7">
      <c r="A176" s="9">
        <v>175</v>
      </c>
      <c r="B176" s="14" t="s">
        <v>129</v>
      </c>
      <c r="C176" s="14" t="s">
        <v>104</v>
      </c>
      <c r="D176" s="15">
        <v>1.5</v>
      </c>
      <c r="E176" s="12">
        <f t="shared" si="17"/>
        <v>58.7522487376965</v>
      </c>
      <c r="F176" s="13">
        <v>64.611072354002</v>
      </c>
      <c r="G176" s="12">
        <f t="shared" si="13"/>
        <v>5.8588236163055</v>
      </c>
    </row>
    <row r="177" spans="1:7">
      <c r="A177" s="9">
        <v>176</v>
      </c>
      <c r="B177" s="14" t="s">
        <v>63</v>
      </c>
      <c r="C177" s="14" t="s">
        <v>59</v>
      </c>
      <c r="D177" s="15" t="s">
        <v>159</v>
      </c>
      <c r="E177" s="12">
        <f t="shared" si="17"/>
        <v>27.6630202779839</v>
      </c>
      <c r="F177" s="13">
        <v>27.9732438851934</v>
      </c>
      <c r="G177" s="12">
        <f t="shared" si="13"/>
        <v>0.310223607209512</v>
      </c>
    </row>
    <row r="178" spans="1:7">
      <c r="A178" s="9">
        <v>177</v>
      </c>
      <c r="B178" s="14" t="s">
        <v>161</v>
      </c>
      <c r="C178" s="14" t="s">
        <v>82</v>
      </c>
      <c r="D178" s="15" t="s">
        <v>162</v>
      </c>
      <c r="E178" s="12">
        <f t="shared" si="17"/>
        <v>33.5618761142959</v>
      </c>
      <c r="F178" s="13">
        <v>34.199434540902</v>
      </c>
      <c r="G178" s="12">
        <f t="shared" si="13"/>
        <v>0.637558426606098</v>
      </c>
    </row>
    <row r="179" spans="1:7">
      <c r="A179" s="9">
        <v>178</v>
      </c>
      <c r="B179" s="16">
        <v>27.8</v>
      </c>
      <c r="C179" s="16">
        <v>26.2</v>
      </c>
      <c r="D179" s="11">
        <v>0.34</v>
      </c>
      <c r="E179" s="12">
        <f t="shared" ref="E179:E187" si="18">(((B179+273)^4+(110000000*D179^0.6/(0.95*0.075^0.4))*(B179-C179))^0.25)-273</f>
        <v>30.2796589311578</v>
      </c>
      <c r="F179" s="13">
        <v>30.466202452141</v>
      </c>
      <c r="G179" s="12">
        <f t="shared" si="13"/>
        <v>0.186543520983175</v>
      </c>
    </row>
    <row r="180" spans="1:7">
      <c r="A180" s="9">
        <v>179</v>
      </c>
      <c r="B180" s="14" t="s">
        <v>163</v>
      </c>
      <c r="C180" s="14" t="s">
        <v>154</v>
      </c>
      <c r="D180" s="15" t="s">
        <v>74</v>
      </c>
      <c r="E180" s="12">
        <f t="shared" si="18"/>
        <v>37.5322878055213</v>
      </c>
      <c r="F180" s="13">
        <v>39.3426499387332</v>
      </c>
      <c r="G180" s="12">
        <f t="shared" si="13"/>
        <v>1.81036213321188</v>
      </c>
    </row>
    <row r="181" spans="1:7">
      <c r="A181" s="9">
        <v>180</v>
      </c>
      <c r="B181" s="10" t="s">
        <v>164</v>
      </c>
      <c r="C181" s="10" t="s">
        <v>12</v>
      </c>
      <c r="D181" s="11">
        <v>0.23</v>
      </c>
      <c r="E181" s="12">
        <f t="shared" si="18"/>
        <v>38.7510484619867</v>
      </c>
      <c r="F181" s="13">
        <v>39.0302566539442</v>
      </c>
      <c r="G181" s="12">
        <f t="shared" si="13"/>
        <v>0.279208191957473</v>
      </c>
    </row>
    <row r="182" spans="1:7">
      <c r="A182" s="9">
        <v>181</v>
      </c>
      <c r="B182" s="14" t="s">
        <v>155</v>
      </c>
      <c r="C182" s="14" t="s">
        <v>59</v>
      </c>
      <c r="D182" s="11">
        <v>0.53</v>
      </c>
      <c r="E182" s="12">
        <f t="shared" si="18"/>
        <v>33.5860912053728</v>
      </c>
      <c r="F182" s="13">
        <v>34.3881517829914</v>
      </c>
      <c r="G182" s="12">
        <f t="shared" si="13"/>
        <v>0.802060577618562</v>
      </c>
    </row>
    <row r="183" spans="1:7">
      <c r="A183" s="9">
        <v>182</v>
      </c>
      <c r="B183" s="10" t="s">
        <v>29</v>
      </c>
      <c r="C183" s="10" t="s">
        <v>58</v>
      </c>
      <c r="D183" s="11">
        <v>0.41</v>
      </c>
      <c r="E183" s="12">
        <f t="shared" si="18"/>
        <v>35.4371050692875</v>
      </c>
      <c r="F183" s="13">
        <v>36.0137341196523</v>
      </c>
      <c r="G183" s="12">
        <f t="shared" si="13"/>
        <v>0.576629050364801</v>
      </c>
    </row>
    <row r="184" spans="1:7">
      <c r="A184" s="9">
        <v>183</v>
      </c>
      <c r="B184" s="10" t="s">
        <v>29</v>
      </c>
      <c r="C184" s="10" t="s">
        <v>58</v>
      </c>
      <c r="D184" s="11">
        <v>0.4</v>
      </c>
      <c r="E184" s="12">
        <f t="shared" si="18"/>
        <v>35.3508579073167</v>
      </c>
      <c r="F184" s="13">
        <v>35.9023700188274</v>
      </c>
      <c r="G184" s="12">
        <f t="shared" si="13"/>
        <v>0.551512111510746</v>
      </c>
    </row>
    <row r="185" spans="1:7">
      <c r="A185" s="9">
        <v>184</v>
      </c>
      <c r="B185" s="10" t="s">
        <v>44</v>
      </c>
      <c r="C185" s="10" t="s">
        <v>104</v>
      </c>
      <c r="D185" s="11">
        <v>0.15</v>
      </c>
      <c r="E185" s="12">
        <f t="shared" si="18"/>
        <v>34.6099669117397</v>
      </c>
      <c r="F185" s="13">
        <v>34.5407355789571</v>
      </c>
      <c r="G185" s="12">
        <f t="shared" si="13"/>
        <v>-0.0692313327825644</v>
      </c>
    </row>
    <row r="186" spans="1:7">
      <c r="A186" s="9">
        <v>185</v>
      </c>
      <c r="B186" s="14" t="s">
        <v>156</v>
      </c>
      <c r="C186" s="16">
        <v>25.4</v>
      </c>
      <c r="D186" s="11">
        <v>0.6</v>
      </c>
      <c r="E186" s="12">
        <f t="shared" si="18"/>
        <v>44.8242209620855</v>
      </c>
      <c r="F186" s="13">
        <v>46.5805295255912</v>
      </c>
      <c r="G186" s="12">
        <f t="shared" si="13"/>
        <v>1.75630856350574</v>
      </c>
    </row>
    <row r="187" spans="1:7">
      <c r="A187" s="9">
        <v>186</v>
      </c>
      <c r="B187" s="14" t="s">
        <v>85</v>
      </c>
      <c r="C187" s="16">
        <v>26</v>
      </c>
      <c r="D187" s="11">
        <v>0.3</v>
      </c>
      <c r="E187" s="12">
        <f t="shared" si="18"/>
        <v>28.6994898719855</v>
      </c>
      <c r="F187" s="13">
        <v>28.7970421286552</v>
      </c>
      <c r="G187" s="12">
        <f t="shared" si="13"/>
        <v>0.0975522566697364</v>
      </c>
    </row>
    <row r="188" spans="1:7">
      <c r="A188" s="9">
        <v>187</v>
      </c>
      <c r="B188" s="14" t="s">
        <v>50</v>
      </c>
      <c r="C188" s="16">
        <v>25.8</v>
      </c>
      <c r="D188" s="11">
        <v>0.16</v>
      </c>
      <c r="E188" s="12">
        <f t="shared" ref="E188:E197" si="19">(((B188+273)^4+(110000000*D188^0.6/(0.95*0.075^0.4))*(B188-C188))^0.25)-273</f>
        <v>30.1681541604117</v>
      </c>
      <c r="F188" s="13">
        <v>30.1479727081689</v>
      </c>
      <c r="G188" s="12">
        <f t="shared" si="13"/>
        <v>-0.0201814522427881</v>
      </c>
    </row>
    <row r="189" spans="1:7">
      <c r="A189" s="9">
        <v>188</v>
      </c>
      <c r="B189" s="14" t="s">
        <v>164</v>
      </c>
      <c r="C189" s="16">
        <v>26.1</v>
      </c>
      <c r="D189" s="11">
        <v>1.2</v>
      </c>
      <c r="E189" s="12">
        <f t="shared" si="19"/>
        <v>39.3316607565737</v>
      </c>
      <c r="F189" s="13">
        <v>41.5673680735324</v>
      </c>
      <c r="G189" s="12">
        <f t="shared" si="13"/>
        <v>2.23570731695872</v>
      </c>
    </row>
    <row r="190" spans="1:7">
      <c r="A190" s="9">
        <v>189</v>
      </c>
      <c r="B190" s="16">
        <v>28.6</v>
      </c>
      <c r="C190" s="16">
        <v>25.8</v>
      </c>
      <c r="D190" s="11">
        <v>1.3</v>
      </c>
      <c r="E190" s="12">
        <f t="shared" si="19"/>
        <v>37.9060877381619</v>
      </c>
      <c r="F190" s="13">
        <v>40.0836224749861</v>
      </c>
      <c r="G190" s="12">
        <f t="shared" si="13"/>
        <v>2.17753473682416</v>
      </c>
    </row>
    <row r="191" spans="1:7">
      <c r="A191" s="9">
        <v>190</v>
      </c>
      <c r="B191" s="16">
        <v>30.1</v>
      </c>
      <c r="C191" s="16">
        <v>26.8</v>
      </c>
      <c r="D191" s="11">
        <v>0.8</v>
      </c>
      <c r="E191" s="12">
        <f t="shared" si="19"/>
        <v>38.2240754853746</v>
      </c>
      <c r="F191" s="13">
        <v>39.6398265146844</v>
      </c>
      <c r="G191" s="12">
        <f t="shared" si="13"/>
        <v>1.41575102930979</v>
      </c>
    </row>
    <row r="192" spans="1:7">
      <c r="A192" s="9">
        <v>191</v>
      </c>
      <c r="B192" s="16">
        <v>29.6</v>
      </c>
      <c r="C192" s="16">
        <v>27.4</v>
      </c>
      <c r="D192" s="11">
        <v>0.9</v>
      </c>
      <c r="E192" s="12">
        <f t="shared" si="19"/>
        <v>35.5054597086955</v>
      </c>
      <c r="F192" s="13">
        <v>36.6347479790281</v>
      </c>
      <c r="G192" s="12">
        <f t="shared" si="13"/>
        <v>1.12928827033257</v>
      </c>
    </row>
    <row r="193" spans="1:7">
      <c r="A193" s="9">
        <v>192</v>
      </c>
      <c r="B193" s="16">
        <v>30.2</v>
      </c>
      <c r="C193" s="16">
        <v>26.5</v>
      </c>
      <c r="D193" s="11">
        <v>1.1</v>
      </c>
      <c r="E193" s="12">
        <f t="shared" si="19"/>
        <v>41.0681515317754</v>
      </c>
      <c r="F193" s="13">
        <v>43.3606047900846</v>
      </c>
      <c r="G193" s="12">
        <f t="shared" si="13"/>
        <v>2.29245325830924</v>
      </c>
    </row>
    <row r="194" spans="1:7">
      <c r="A194" s="9">
        <v>193</v>
      </c>
      <c r="B194" s="16">
        <v>31.5</v>
      </c>
      <c r="C194" s="16">
        <v>28.5</v>
      </c>
      <c r="D194" s="11">
        <v>1.6</v>
      </c>
      <c r="E194" s="12">
        <f t="shared" si="19"/>
        <v>42.3938579811668</v>
      </c>
      <c r="F194" s="13">
        <v>45.2122731167212</v>
      </c>
      <c r="G194" s="12">
        <f>F194-E194</f>
        <v>2.81841513555437</v>
      </c>
    </row>
    <row r="195" spans="1:7">
      <c r="A195" s="9">
        <v>194</v>
      </c>
      <c r="B195" s="17">
        <v>32</v>
      </c>
      <c r="C195" s="16">
        <v>27.6</v>
      </c>
      <c r="D195" s="11">
        <v>1.5</v>
      </c>
      <c r="E195" s="12">
        <f t="shared" si="19"/>
        <v>46.9935838397466</v>
      </c>
      <c r="F195" s="13">
        <v>50.6630653150776</v>
      </c>
      <c r="G195" s="12">
        <f>F195-E195</f>
        <v>3.66948147533103</v>
      </c>
    </row>
    <row r="196" spans="1:7">
      <c r="A196" s="9">
        <v>195</v>
      </c>
      <c r="B196" s="16">
        <v>32.6</v>
      </c>
      <c r="C196" s="16">
        <v>28.4</v>
      </c>
      <c r="D196" s="15" t="s">
        <v>43</v>
      </c>
      <c r="E196" s="12">
        <f t="shared" si="19"/>
        <v>44.5878647058923</v>
      </c>
      <c r="F196" s="13">
        <v>47.1024109828545</v>
      </c>
      <c r="G196" s="12">
        <f>F196-E196</f>
        <v>2.51454627696221</v>
      </c>
    </row>
    <row r="197" spans="1:7">
      <c r="A197" s="9">
        <v>196</v>
      </c>
      <c r="B197" s="16">
        <v>33.2</v>
      </c>
      <c r="C197" s="16">
        <v>28.6</v>
      </c>
      <c r="D197" s="15" t="s">
        <v>49</v>
      </c>
      <c r="E197" s="12">
        <f t="shared" si="19"/>
        <v>42.3981183441309</v>
      </c>
      <c r="F197" s="13">
        <v>43.67274155869</v>
      </c>
      <c r="G197" s="12">
        <f>F197-E197</f>
        <v>1.27462321455913</v>
      </c>
    </row>
    <row r="198" spans="1:7">
      <c r="A198" s="9" t="s">
        <v>165</v>
      </c>
      <c r="B198" s="17"/>
      <c r="C198" s="16"/>
      <c r="D198" s="16"/>
      <c r="E198" s="12">
        <f>AVERAGE(E2:E197)</f>
        <v>40.926101559744</v>
      </c>
      <c r="F198" s="13">
        <f>AVERAGE(F2:F197)</f>
        <v>43.0154598694816</v>
      </c>
      <c r="G198" s="12">
        <f>AVERAGE(G2:G197)</f>
        <v>2.08935830973758</v>
      </c>
    </row>
    <row r="199" spans="1:7">
      <c r="A199" s="9" t="s">
        <v>166</v>
      </c>
      <c r="B199" s="16"/>
      <c r="C199" s="16"/>
      <c r="D199" s="14"/>
      <c r="E199" s="12"/>
      <c r="F199" s="13"/>
      <c r="G199" s="18">
        <v>1.98</v>
      </c>
    </row>
    <row r="200" spans="1:7">
      <c r="A200" s="18" t="s">
        <v>167</v>
      </c>
      <c r="B200" s="16"/>
      <c r="C200" s="16"/>
      <c r="D200" s="14"/>
      <c r="E200" s="12"/>
      <c r="F200" s="13"/>
      <c r="G200" s="18" t="s">
        <v>168</v>
      </c>
    </row>
    <row r="201" spans="1:7">
      <c r="A201" s="18" t="s">
        <v>169</v>
      </c>
      <c r="B201" s="9"/>
      <c r="C201" s="9"/>
      <c r="D201" s="9"/>
      <c r="E201" s="12"/>
      <c r="F201" s="13"/>
      <c r="G201" s="18">
        <v>9.18</v>
      </c>
    </row>
  </sheetData>
  <sortState ref="A2:G200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高sama</cp:lastModifiedBy>
  <dcterms:created xsi:type="dcterms:W3CDTF">2025-04-24T08:01:00Z</dcterms:created>
  <dcterms:modified xsi:type="dcterms:W3CDTF">2026-05-22T09:37:36Z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5A876BA4B8BE43599075AEBF69A7B97D_12</vt:lpwstr>
  </property>
  <property fmtid="{D5CDD505-2E9C-101B-9397-08002B2CF9AE}" pid="3" name="KSOProductBuildVer">
    <vt:lpwstr>2052-12.1.0.17827</vt:lpwstr>
  </property>
</Properties>
</file>